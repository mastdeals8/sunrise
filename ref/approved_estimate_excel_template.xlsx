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nal/Library/CloudStorage/GoogleDrive-kunal@sunrisemedia.in/My Drive/sunrise/Sunrise/Peter England Invoices/TGL may26/"/>
    </mc:Choice>
  </mc:AlternateContent>
  <xr:revisionPtr revIDLastSave="0" documentId="13_ncr:1_{B3DE1677-51C3-3E4C-9122-4B3C48BED405}" xr6:coauthVersionLast="47" xr6:coauthVersionMax="47" xr10:uidLastSave="{00000000-0000-0000-0000-000000000000}"/>
  <bookViews>
    <workbookView xWindow="0" yWindow="600" windowWidth="17740" windowHeight="19960" xr2:uid="{77DB62A4-B9FB-463C-9760-B72859AFE1F0}"/>
  </bookViews>
  <sheets>
    <sheet name="2" sheetId="6" r:id="rId1"/>
  </sheets>
  <definedNames>
    <definedName name="_xlnm._FilterDatabase" localSheetId="0" hidden="1">'2'!$A$16:$Q$80</definedName>
    <definedName name="_xlnm.Print_Area" localSheetId="0">'2'!$A$1:$Q$110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6" l="1"/>
  <c r="L23" i="6"/>
  <c r="L75" i="6"/>
  <c r="P75" i="6" s="1"/>
  <c r="P72" i="6"/>
  <c r="N72" i="6"/>
  <c r="P71" i="6"/>
  <c r="N71" i="6"/>
  <c r="J70" i="6"/>
  <c r="L70" i="6" s="1"/>
  <c r="J69" i="6"/>
  <c r="L69" i="6" s="1"/>
  <c r="J68" i="6"/>
  <c r="L68" i="6" s="1"/>
  <c r="J67" i="6"/>
  <c r="L67" i="6" s="1"/>
  <c r="J66" i="6"/>
  <c r="L66" i="6" s="1"/>
  <c r="L63" i="6"/>
  <c r="N63" i="6" s="1"/>
  <c r="P60" i="6"/>
  <c r="N60" i="6"/>
  <c r="P59" i="6"/>
  <c r="N59" i="6"/>
  <c r="J58" i="6"/>
  <c r="L58" i="6" s="1"/>
  <c r="J57" i="6"/>
  <c r="L57" i="6" s="1"/>
  <c r="J56" i="6"/>
  <c r="L56" i="6" s="1"/>
  <c r="J55" i="6"/>
  <c r="L55" i="6" s="1"/>
  <c r="L52" i="6"/>
  <c r="P52" i="6"/>
  <c r="P49" i="6"/>
  <c r="N49" i="6"/>
  <c r="P48" i="6"/>
  <c r="N48" i="6"/>
  <c r="J47" i="6"/>
  <c r="L47" i="6" s="1"/>
  <c r="J46" i="6"/>
  <c r="L46" i="6" s="1"/>
  <c r="J45" i="6"/>
  <c r="L45" i="6" s="1"/>
  <c r="J44" i="6"/>
  <c r="L44" i="6" s="1"/>
  <c r="J43" i="6"/>
  <c r="L43" i="6" s="1"/>
  <c r="L40" i="6"/>
  <c r="P40" i="6" s="1"/>
  <c r="P37" i="6"/>
  <c r="N37" i="6"/>
  <c r="P36" i="6"/>
  <c r="N36" i="6"/>
  <c r="J35" i="6"/>
  <c r="L35" i="6" s="1"/>
  <c r="J34" i="6"/>
  <c r="L34" i="6" s="1"/>
  <c r="J33" i="6"/>
  <c r="L33" i="6" s="1"/>
  <c r="J32" i="6"/>
  <c r="L32" i="6" s="1"/>
  <c r="J31" i="6"/>
  <c r="L31" i="6" s="1"/>
  <c r="P24" i="6"/>
  <c r="N24" i="6"/>
  <c r="J23" i="6"/>
  <c r="P23" i="6" s="1"/>
  <c r="J22" i="6"/>
  <c r="J20" i="6"/>
  <c r="Q59" i="6" l="1"/>
  <c r="Q60" i="6"/>
  <c r="Q49" i="6"/>
  <c r="Q71" i="6"/>
  <c r="Q72" i="6"/>
  <c r="K74" i="6"/>
  <c r="L74" i="6" s="1"/>
  <c r="N66" i="6"/>
  <c r="P66" i="6"/>
  <c r="Q66" i="6" s="1"/>
  <c r="K73" i="6"/>
  <c r="L73" i="6" s="1"/>
  <c r="N67" i="6"/>
  <c r="P67" i="6"/>
  <c r="N68" i="6"/>
  <c r="P68" i="6"/>
  <c r="Q68" i="6" s="1"/>
  <c r="P69" i="6"/>
  <c r="N69" i="6"/>
  <c r="N70" i="6"/>
  <c r="P70" i="6"/>
  <c r="N75" i="6"/>
  <c r="Q75" i="6" s="1"/>
  <c r="N57" i="6"/>
  <c r="P57" i="6"/>
  <c r="Q36" i="6"/>
  <c r="Q37" i="6"/>
  <c r="Q24" i="6"/>
  <c r="Q48" i="6"/>
  <c r="P63" i="6"/>
  <c r="Q63" i="6" s="1"/>
  <c r="K61" i="6"/>
  <c r="L61" i="6" s="1"/>
  <c r="P55" i="6"/>
  <c r="N55" i="6"/>
  <c r="K62" i="6"/>
  <c r="L62" i="6" s="1"/>
  <c r="P56" i="6"/>
  <c r="N56" i="6"/>
  <c r="Q57" i="6"/>
  <c r="P58" i="6"/>
  <c r="N58" i="6"/>
  <c r="P43" i="6"/>
  <c r="N43" i="6"/>
  <c r="K50" i="6"/>
  <c r="L50" i="6" s="1"/>
  <c r="K51" i="6"/>
  <c r="L51" i="6" s="1"/>
  <c r="N45" i="6"/>
  <c r="P45" i="6"/>
  <c r="Q45" i="6" s="1"/>
  <c r="P47" i="6"/>
  <c r="N47" i="6"/>
  <c r="P44" i="6"/>
  <c r="N44" i="6"/>
  <c r="P46" i="6"/>
  <c r="N46" i="6"/>
  <c r="N52" i="6"/>
  <c r="Q52" i="6" s="1"/>
  <c r="P35" i="6"/>
  <c r="N35" i="6"/>
  <c r="P31" i="6"/>
  <c r="N31" i="6"/>
  <c r="K38" i="6"/>
  <c r="L38" i="6" s="1"/>
  <c r="K39" i="6"/>
  <c r="L39" i="6" s="1"/>
  <c r="P32" i="6"/>
  <c r="N32" i="6"/>
  <c r="N33" i="6"/>
  <c r="P33" i="6"/>
  <c r="Q33" i="6" s="1"/>
  <c r="P34" i="6"/>
  <c r="N34" i="6"/>
  <c r="N40" i="6"/>
  <c r="Q40" i="6" s="1"/>
  <c r="P22" i="6"/>
  <c r="N22" i="6"/>
  <c r="N23" i="6"/>
  <c r="Q23" i="6" s="1"/>
  <c r="Q70" i="6" l="1"/>
  <c r="Q69" i="6"/>
  <c r="Q67" i="6"/>
  <c r="P73" i="6"/>
  <c r="N73" i="6"/>
  <c r="P74" i="6"/>
  <c r="N74" i="6"/>
  <c r="Q47" i="6"/>
  <c r="Q56" i="6"/>
  <c r="Q44" i="6"/>
  <c r="Q58" i="6"/>
  <c r="P62" i="6"/>
  <c r="N62" i="6"/>
  <c r="Q55" i="6"/>
  <c r="N61" i="6"/>
  <c r="P61" i="6"/>
  <c r="Q61" i="6" s="1"/>
  <c r="N50" i="6"/>
  <c r="P50" i="6"/>
  <c r="Q50" i="6" s="1"/>
  <c r="N51" i="6"/>
  <c r="P51" i="6"/>
  <c r="Q46" i="6"/>
  <c r="Q43" i="6"/>
  <c r="Q34" i="6"/>
  <c r="P39" i="6"/>
  <c r="N39" i="6"/>
  <c r="Q32" i="6"/>
  <c r="N38" i="6"/>
  <c r="P38" i="6"/>
  <c r="Q31" i="6"/>
  <c r="Q35" i="6"/>
  <c r="Q22" i="6"/>
  <c r="Q51" i="6" l="1"/>
  <c r="Q74" i="6"/>
  <c r="Q73" i="6"/>
  <c r="Q62" i="6"/>
  <c r="Q38" i="6"/>
  <c r="Q39" i="6"/>
  <c r="J19" i="6"/>
  <c r="L19" i="6" s="1"/>
  <c r="L20" i="6"/>
  <c r="J21" i="6"/>
  <c r="L21" i="6" s="1"/>
  <c r="P21" i="6" s="1"/>
  <c r="L28" i="6"/>
  <c r="N28" i="6" s="1"/>
  <c r="P25" i="6"/>
  <c r="N25" i="6"/>
  <c r="K26" i="6" l="1"/>
  <c r="P86" i="6"/>
  <c r="N86" i="6"/>
  <c r="K27" i="6"/>
  <c r="L27" i="6" s="1"/>
  <c r="L26" i="6"/>
  <c r="L84" i="6" s="1"/>
  <c r="N21" i="6"/>
  <c r="Q21" i="6" s="1"/>
  <c r="Q25" i="6"/>
  <c r="P20" i="6"/>
  <c r="N20" i="6"/>
  <c r="P19" i="6"/>
  <c r="N19" i="6"/>
  <c r="L86" i="6"/>
  <c r="P28" i="6"/>
  <c r="Q28" i="6" s="1"/>
  <c r="Q86" i="6" l="1"/>
  <c r="N27" i="6"/>
  <c r="L85" i="6"/>
  <c r="L83" i="6" s="1"/>
  <c r="Q19" i="6"/>
  <c r="Q20" i="6"/>
  <c r="P27" i="6"/>
  <c r="Q27" i="6" s="1"/>
  <c r="N26" i="6"/>
  <c r="P26" i="6"/>
  <c r="P85" i="6" l="1"/>
  <c r="N85" i="6"/>
  <c r="N84" i="6"/>
  <c r="N83" i="6" s="1"/>
  <c r="P84" i="6"/>
  <c r="Q88" i="6"/>
  <c r="Q26" i="6"/>
  <c r="P83" i="6" l="1"/>
  <c r="Q84" i="6"/>
  <c r="Q85" i="6"/>
  <c r="Q90" i="6"/>
  <c r="Q89" i="6"/>
  <c r="Q83" i="6" l="1"/>
  <c r="Q91" i="6"/>
</calcChain>
</file>

<file path=xl/sharedStrings.xml><?xml version="1.0" encoding="utf-8"?>
<sst xmlns="http://schemas.openxmlformats.org/spreadsheetml/2006/main" count="206" uniqueCount="78">
  <si>
    <t>Billing To</t>
  </si>
  <si>
    <t xml:space="preserve">Date : </t>
  </si>
  <si>
    <t>Est - No -</t>
  </si>
  <si>
    <t xml:space="preserve">GSTN - </t>
  </si>
  <si>
    <t>27ABZFS5736R1ZR</t>
  </si>
  <si>
    <t>Shipping To</t>
  </si>
  <si>
    <t xml:space="preserve">PAN - </t>
  </si>
  <si>
    <t>ABZFS5736R</t>
  </si>
  <si>
    <t xml:space="preserve">Vendor Code - </t>
  </si>
  <si>
    <t>SGST
Rate Amount</t>
  </si>
  <si>
    <t>CGST
Rate Amount</t>
  </si>
  <si>
    <t>Total</t>
  </si>
  <si>
    <t>SL</t>
  </si>
  <si>
    <t>TYPE</t>
  </si>
  <si>
    <t>HSN</t>
  </si>
  <si>
    <t xml:space="preserve">Standard / Non </t>
  </si>
  <si>
    <t>Description</t>
  </si>
  <si>
    <t xml:space="preserve">Sizes </t>
  </si>
  <si>
    <t>Amount</t>
  </si>
  <si>
    <t>Non-Standard</t>
  </si>
  <si>
    <t>IMPLEMENTATION @ 7%</t>
  </si>
  <si>
    <t>Implementation @7%</t>
  </si>
  <si>
    <t>PACKING CHARGES @ 4%</t>
  </si>
  <si>
    <t>Packing Charges @ 4%</t>
  </si>
  <si>
    <t>TOTAL AMOUNT BEFORE TAX</t>
  </si>
  <si>
    <t>Add  :  CGST  9%</t>
  </si>
  <si>
    <t>Add  : SGST  9%</t>
  </si>
  <si>
    <t>TOTAL AMOUNT AFTER TAX</t>
  </si>
  <si>
    <r>
      <rPr>
        <b/>
        <u/>
        <sz val="10"/>
        <color indexed="10"/>
        <rFont val="Garamond"/>
        <family val="1"/>
      </rPr>
      <t>Terms</t>
    </r>
    <r>
      <rPr>
        <u/>
        <sz val="10"/>
        <color indexed="10"/>
        <rFont val="Garamond"/>
        <family val="1"/>
      </rPr>
      <t> </t>
    </r>
    <r>
      <rPr>
        <b/>
        <u/>
        <sz val="10"/>
        <color indexed="10"/>
        <rFont val="Garamond"/>
        <family val="1"/>
      </rPr>
      <t>&amp;</t>
    </r>
    <r>
      <rPr>
        <u/>
        <sz val="10"/>
        <color indexed="10"/>
        <rFont val="Garamond"/>
        <family val="1"/>
      </rPr>
      <t> </t>
    </r>
    <r>
      <rPr>
        <b/>
        <u/>
        <sz val="10"/>
        <color indexed="10"/>
        <rFont val="Garamond"/>
        <family val="1"/>
      </rPr>
      <t>Condition</t>
    </r>
    <r>
      <rPr>
        <u/>
        <sz val="10"/>
        <color indexed="10"/>
        <rFont val="Garamond"/>
        <family val="1"/>
      </rPr>
      <t> </t>
    </r>
    <r>
      <rPr>
        <b/>
        <u/>
        <sz val="10"/>
        <color indexed="10"/>
        <rFont val="Garamond"/>
        <family val="1"/>
      </rPr>
      <t>:</t>
    </r>
  </si>
  <si>
    <r>
      <rPr>
        <sz val="10"/>
        <rFont val="Garamond"/>
        <family val="1"/>
      </rPr>
      <t>1.Taxes will be applicable.</t>
    </r>
  </si>
  <si>
    <t>BANK ACCOUNT DETAILS</t>
  </si>
  <si>
    <t>Bank Name : HDFC BANK</t>
  </si>
  <si>
    <t>Branch Name : Baner Pune</t>
  </si>
  <si>
    <t>3.Transportation charges As per Actual.</t>
  </si>
  <si>
    <t>C.A/c No : 50200017347152</t>
  </si>
  <si>
    <t>4.Any additional work / rework will be extra.</t>
  </si>
  <si>
    <t>IFSC NO : HDFC0001794</t>
  </si>
  <si>
    <t>Standard</t>
  </si>
  <si>
    <t>Electrical works</t>
  </si>
  <si>
    <t>Transportation</t>
  </si>
  <si>
    <t>Local Transport</t>
  </si>
  <si>
    <t>M/S : Aditya Birla Lifestyle Brands Limited</t>
  </si>
  <si>
    <t>Piramal Agastya Corporate Park, Building A,4 and 5 floor, unit </t>
  </si>
  <si>
    <t>No.401,403,501,502,LBS Rd, Kurla, Mumbai, Maharashtra 400070</t>
  </si>
  <si>
    <t>State Code: 27 </t>
  </si>
  <si>
    <t>GSTN - 27ABACA5076G1ZQ</t>
  </si>
  <si>
    <t>PETER ENGLAND, Maharashtra</t>
  </si>
  <si>
    <t>Backdrop</t>
  </si>
  <si>
    <t>Latex Print on Vinyl on 3mm SB</t>
  </si>
  <si>
    <t>Floor Vinyl</t>
  </si>
  <si>
    <t xml:space="preserve">Latex Print on Black back Vinyl </t>
  </si>
  <si>
    <t>`</t>
  </si>
  <si>
    <t>Adaptor</t>
  </si>
  <si>
    <t>Rate</t>
  </si>
  <si>
    <t>Qty</t>
  </si>
  <si>
    <t>T.Sqft</t>
  </si>
  <si>
    <t>TOTAL PACKING</t>
  </si>
  <si>
    <t>TOTAL  INSTALLATION</t>
  </si>
  <si>
    <t>TOTAL TRANSPORTATION</t>
  </si>
  <si>
    <t>TOTAL MATERIAL</t>
  </si>
  <si>
    <t>2.100% Payment after the delivery of the material.</t>
  </si>
  <si>
    <t>Turf &amp; Batsman Logo</t>
  </si>
  <si>
    <t xml:space="preserve">Podium </t>
  </si>
  <si>
    <t>SB box with Cnc router and Deco pait</t>
  </si>
  <si>
    <t>Podium Green</t>
  </si>
  <si>
    <t>SB box with Vinyl and Acrylic letter</t>
  </si>
  <si>
    <t>Bat, Ball and helment</t>
  </si>
  <si>
    <t>MS frame with Turf and Back SB vinyl print</t>
  </si>
  <si>
    <t>Side  panel</t>
  </si>
  <si>
    <t>SB box with MS Back SB vinyl print with LED</t>
  </si>
  <si>
    <t xml:space="preserve"> SM/26-27/172</t>
  </si>
  <si>
    <t>Subject : TGL Window</t>
  </si>
  <si>
    <t>Adaptor &amp; Electical works</t>
  </si>
  <si>
    <t>MOM 0.75,  Store Code:5568</t>
  </si>
  <si>
    <t>Aundh 1:1 ,  Store Code:  103036</t>
  </si>
  <si>
    <t>Chinchwad 1:1  Store Code: 101075</t>
  </si>
  <si>
    <t>Sagun 1:1, Store Code: 101076</t>
  </si>
  <si>
    <t>Kolhapur 1.5:1, Store Code:  104012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</si>
</sst>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[$-409]d\-mmm\-yyyy;@"/>
    <numFmt numFmtId="165" formatCode="_-* #,##0.00_-;\-* #,##0.00_-;_-* &quot;-&quot;??_-;_-@_-"/>
  </numFmts>
  <fonts count="22" x14ac:knownFonts="1">
    <font>
      <sz val="10"/>
      <name val="Arial"/>
    </font>
    <font>
      <sz val="8"/>
      <name val="Garamond"/>
      <family val="1"/>
    </font>
    <font>
      <b/>
      <sz val="10"/>
      <name val="Garamond"/>
      <family val="1"/>
    </font>
    <font>
      <sz val="10"/>
      <name val="Garamond"/>
      <family val="1"/>
    </font>
    <font>
      <b/>
      <sz val="8"/>
      <name val="Garamond"/>
      <family val="1"/>
    </font>
    <font>
      <b/>
      <sz val="10"/>
      <color theme="1"/>
      <name val="Garamond"/>
      <family val="1"/>
    </font>
    <font>
      <b/>
      <sz val="9"/>
      <color indexed="8"/>
      <name val="Calibri"/>
      <family val="2"/>
    </font>
    <font>
      <b/>
      <sz val="10"/>
      <color indexed="8"/>
      <name val="Calibri"/>
      <family val="2"/>
    </font>
    <font>
      <b/>
      <sz val="8"/>
      <color theme="1"/>
      <name val="Garamond"/>
      <family val="1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FF0000"/>
      <name val="Garamond"/>
      <family val="1"/>
    </font>
    <font>
      <sz val="10"/>
      <color rgb="FFFF0000"/>
      <name val="Garamond"/>
      <family val="1"/>
    </font>
    <font>
      <b/>
      <u/>
      <sz val="10"/>
      <color indexed="10"/>
      <name val="Garamond"/>
      <family val="1"/>
    </font>
    <font>
      <u/>
      <sz val="10"/>
      <color indexed="10"/>
      <name val="Garamond"/>
      <family val="1"/>
    </font>
    <font>
      <sz val="10"/>
      <color rgb="FF000000"/>
      <name val="Garamond"/>
      <family val="1"/>
    </font>
    <font>
      <b/>
      <sz val="10"/>
      <color rgb="FF000000"/>
      <name val="Garamond"/>
      <family val="1"/>
    </font>
    <font>
      <sz val="8"/>
      <color rgb="FF000000"/>
      <name val="Garamond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1" fillId="0" borderId="0"/>
  </cellStyleXfs>
  <cellXfs count="142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2" fontId="1" fillId="0" borderId="2" xfId="0" applyNumberFormat="1" applyFont="1" applyBorder="1"/>
    <xf numFmtId="0" fontId="1" fillId="0" borderId="0" xfId="0" applyFont="1"/>
    <xf numFmtId="0" fontId="1" fillId="0" borderId="4" xfId="0" applyFont="1" applyBorder="1" applyAlignment="1">
      <alignment horizontal="left"/>
    </xf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14" fontId="3" fillId="0" borderId="0" xfId="0" applyNumberFormat="1" applyFont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4" fillId="0" borderId="4" xfId="0" applyFont="1" applyBorder="1"/>
    <xf numFmtId="164" fontId="3" fillId="0" borderId="0" xfId="0" applyNumberFormat="1" applyFont="1"/>
    <xf numFmtId="164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left" vertical="center"/>
    </xf>
    <xf numFmtId="14" fontId="3" fillId="0" borderId="0" xfId="0" applyNumberFormat="1" applyFont="1"/>
    <xf numFmtId="14" fontId="3" fillId="0" borderId="5" xfId="0" applyNumberFormat="1" applyFont="1" applyBorder="1"/>
    <xf numFmtId="0" fontId="3" fillId="0" borderId="0" xfId="0" applyFont="1" applyAlignment="1">
      <alignment horizontal="right" vertical="center"/>
    </xf>
    <xf numFmtId="0" fontId="1" fillId="0" borderId="4" xfId="0" applyFont="1" applyBorder="1"/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vertical="center"/>
    </xf>
    <xf numFmtId="0" fontId="3" fillId="0" borderId="5" xfId="0" applyFont="1" applyBorder="1"/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/>
    <xf numFmtId="2" fontId="1" fillId="0" borderId="6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vertical="center"/>
    </xf>
    <xf numFmtId="2" fontId="1" fillId="0" borderId="6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2" fontId="8" fillId="0" borderId="7" xfId="0" applyNumberFormat="1" applyFont="1" applyBorder="1" applyAlignment="1">
      <alignment vertical="center"/>
    </xf>
    <xf numFmtId="2" fontId="8" fillId="0" borderId="9" xfId="0" applyNumberFormat="1" applyFont="1" applyBorder="1" applyAlignment="1">
      <alignment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2" fontId="8" fillId="0" borderId="7" xfId="0" applyNumberFormat="1" applyFont="1" applyBorder="1" applyAlignment="1">
      <alignment horizontal="center" vertical="center"/>
    </xf>
    <xf numFmtId="2" fontId="8" fillId="0" borderId="9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/>
    </xf>
    <xf numFmtId="2" fontId="13" fillId="0" borderId="6" xfId="0" applyNumberFormat="1" applyFont="1" applyBorder="1" applyAlignment="1">
      <alignment horizontal="center"/>
    </xf>
    <xf numFmtId="1" fontId="13" fillId="0" borderId="6" xfId="0" applyNumberFormat="1" applyFont="1" applyBorder="1" applyAlignment="1">
      <alignment horizontal="center"/>
    </xf>
    <xf numFmtId="9" fontId="12" fillId="0" borderId="6" xfId="0" applyNumberFormat="1" applyFont="1" applyBorder="1" applyAlignment="1">
      <alignment horizontal="center"/>
    </xf>
    <xf numFmtId="165" fontId="12" fillId="0" borderId="6" xfId="0" applyNumberFormat="1" applyFont="1" applyBorder="1" applyAlignment="1">
      <alignment horizontal="center"/>
    </xf>
    <xf numFmtId="0" fontId="13" fillId="0" borderId="8" xfId="0" applyFont="1" applyBorder="1" applyAlignment="1">
      <alignment horizontal="left" vertical="center"/>
    </xf>
    <xf numFmtId="0" fontId="13" fillId="0" borderId="7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9" fontId="12" fillId="0" borderId="11" xfId="0" applyNumberFormat="1" applyFont="1" applyBorder="1" applyAlignment="1">
      <alignment horizontal="center"/>
    </xf>
    <xf numFmtId="165" fontId="12" fillId="0" borderId="12" xfId="0" applyNumberFormat="1" applyFont="1" applyBorder="1" applyAlignment="1">
      <alignment horizontal="center"/>
    </xf>
    <xf numFmtId="165" fontId="12" fillId="0" borderId="13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2" fontId="9" fillId="0" borderId="7" xfId="0" applyNumberFormat="1" applyFont="1" applyBorder="1" applyAlignment="1">
      <alignment horizontal="center"/>
    </xf>
    <xf numFmtId="2" fontId="9" fillId="0" borderId="9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11" xfId="0" applyFont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0" fontId="11" fillId="0" borderId="13" xfId="0" applyFont="1" applyBorder="1" applyAlignment="1">
      <alignment horizontal="center"/>
    </xf>
    <xf numFmtId="43" fontId="13" fillId="0" borderId="6" xfId="0" applyNumberFormat="1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9" fontId="12" fillId="0" borderId="11" xfId="0" applyNumberFormat="1" applyFont="1" applyBorder="1" applyAlignment="1">
      <alignment horizontal="center" vertical="center"/>
    </xf>
    <xf numFmtId="165" fontId="12" fillId="0" borderId="12" xfId="0" applyNumberFormat="1" applyFont="1" applyBorder="1" applyAlignment="1">
      <alignment horizontal="center" vertical="center"/>
    </xf>
    <xf numFmtId="165" fontId="12" fillId="0" borderId="13" xfId="0" applyNumberFormat="1" applyFont="1" applyBorder="1" applyAlignment="1">
      <alignment horizontal="right" vertical="center"/>
    </xf>
    <xf numFmtId="0" fontId="12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43" fontId="10" fillId="0" borderId="6" xfId="0" applyNumberFormat="1" applyFont="1" applyBorder="1" applyAlignment="1">
      <alignment horizontal="left"/>
    </xf>
    <xf numFmtId="9" fontId="12" fillId="0" borderId="6" xfId="0" applyNumberFormat="1" applyFont="1" applyBorder="1" applyAlignment="1">
      <alignment horizontal="center" vertical="center"/>
    </xf>
    <xf numFmtId="41" fontId="10" fillId="0" borderId="6" xfId="0" applyNumberFormat="1" applyFont="1" applyBorder="1" applyAlignment="1">
      <alignment horizontal="left"/>
    </xf>
    <xf numFmtId="1" fontId="10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right"/>
    </xf>
    <xf numFmtId="9" fontId="2" fillId="0" borderId="8" xfId="0" applyNumberFormat="1" applyFont="1" applyBorder="1" applyAlignment="1">
      <alignment horizontal="right"/>
    </xf>
    <xf numFmtId="2" fontId="2" fillId="0" borderId="9" xfId="0" applyNumberFormat="1" applyFont="1" applyBorder="1" applyAlignment="1">
      <alignment horizontal="right"/>
    </xf>
    <xf numFmtId="2" fontId="2" fillId="0" borderId="6" xfId="0" applyNumberFormat="1" applyFont="1" applyBorder="1" applyAlignment="1">
      <alignment horizontal="right"/>
    </xf>
    <xf numFmtId="0" fontId="14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3" fontId="2" fillId="0" borderId="6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0" fontId="4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horizontal="right"/>
    </xf>
    <xf numFmtId="0" fontId="15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2" fontId="2" fillId="0" borderId="0" xfId="0" applyNumberFormat="1" applyFont="1"/>
    <xf numFmtId="2" fontId="2" fillId="0" borderId="5" xfId="0" applyNumberFormat="1" applyFont="1" applyBorder="1"/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vertical="center"/>
    </xf>
    <xf numFmtId="0" fontId="20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/>
    <xf numFmtId="0" fontId="1" fillId="0" borderId="14" xfId="0" applyFont="1" applyBorder="1"/>
    <xf numFmtId="0" fontId="3" fillId="0" borderId="0" xfId="0" applyFont="1" applyAlignment="1">
      <alignment horizontal="left" vertical="center"/>
    </xf>
    <xf numFmtId="14" fontId="1" fillId="0" borderId="2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 indent="3"/>
    </xf>
    <xf numFmtId="0" fontId="4" fillId="0" borderId="8" xfId="0" applyFont="1" applyBorder="1" applyAlignment="1">
      <alignment horizontal="left" vertical="center" wrapText="1" indent="3"/>
    </xf>
    <xf numFmtId="0" fontId="4" fillId="0" borderId="9" xfId="0" applyFont="1" applyBorder="1" applyAlignment="1">
      <alignment horizontal="left" vertical="center" wrapText="1" indent="3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2" fontId="10" fillId="0" borderId="8" xfId="0" applyNumberFormat="1" applyFont="1" applyBorder="1" applyAlignment="1">
      <alignment horizontal="right"/>
    </xf>
    <xf numFmtId="2" fontId="10" fillId="0" borderId="9" xfId="0" applyNumberFormat="1" applyFont="1" applyBorder="1" applyAlignment="1">
      <alignment horizontal="right"/>
    </xf>
    <xf numFmtId="0" fontId="14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</cellXfs>
  <cellStyles count="2">
    <cellStyle name="Normal" xfId="0" builtinId="0"/>
    <cellStyle name="Normal 2" xfId="1" xr:uid="{CBC20FF4-FFCF-784C-8616-F8261BFE0C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12478</xdr:colOff>
      <xdr:row>0</xdr:row>
      <xdr:rowOff>100655</xdr:rowOff>
    </xdr:from>
    <xdr:to>
      <xdr:col>18</xdr:col>
      <xdr:colOff>423334</xdr:colOff>
      <xdr:row>5</xdr:row>
      <xdr:rowOff>91532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85D2F6B-4E79-41ED-B854-EB8BAE98A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3" r="44946" b="46793"/>
        <a:stretch>
          <a:fillRect/>
        </a:stretch>
      </xdr:blipFill>
      <xdr:spPr bwMode="auto">
        <a:xfrm>
          <a:off x="10893289" y="100655"/>
          <a:ext cx="4255179" cy="906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25918</xdr:rowOff>
    </xdr:from>
    <xdr:to>
      <xdr:col>17</xdr:col>
      <xdr:colOff>41846</xdr:colOff>
      <xdr:row>107</xdr:row>
      <xdr:rowOff>171449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168D6A73-F0BC-4446-9545-26BBF49D7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73" y="53936122"/>
          <a:ext cx="13571234" cy="1415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19050</xdr:colOff>
      <xdr:row>92</xdr:row>
      <xdr:rowOff>123212</xdr:rowOff>
    </xdr:from>
    <xdr:to>
      <xdr:col>14</xdr:col>
      <xdr:colOff>259184</xdr:colOff>
      <xdr:row>97</xdr:row>
      <xdr:rowOff>132383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376159-C94A-459E-917B-0D5F0D760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30683" y="16905355"/>
          <a:ext cx="926970" cy="916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D815BA8-355C-2E47-9D7C-694069BE2564}">
  <we:reference id="wa200006068" version="1.0.4.2" store="en-GB" storeType="OMEX"/>
  <we:alternateReferences>
    <we:reference id="wa200006068" version="1.0.4.2" store="wa200006068" storeType="OMEX"/>
  </we:alternateReferences>
  <we:properties>
    <we:property name="workbook-id" value="&quot;29760454-a922-426f-9c11-6019592a4b07&quot;"/>
    <we:property name="workbook-title" value="&quot;Estimate for Sashiko window.xlsx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1C813-0F57-4289-BFF1-7CAD2FAF263C}">
  <dimension ref="A2:Q126"/>
  <sheetViews>
    <sheetView tabSelected="1" view="pageBreakPreview" topLeftCell="C46" zoomScale="98" zoomScaleNormal="85" zoomScaleSheetLayoutView="98" workbookViewId="0">
      <selection activeCell="K61" sqref="K61"/>
    </sheetView>
  </sheetViews>
  <sheetFormatPr baseColWidth="10" defaultColWidth="8.83203125" defaultRowHeight="14.25" customHeight="1" x14ac:dyDescent="0.15"/>
  <cols>
    <col min="1" max="1" width="1.33203125" style="6" customWidth="1"/>
    <col min="2" max="2" width="4.33203125" style="6" customWidth="1"/>
    <col min="3" max="3" width="25.83203125" style="6" customWidth="1"/>
    <col min="4" max="4" width="7" style="118" customWidth="1"/>
    <col min="5" max="5" width="13.5" style="118" bestFit="1" customWidth="1"/>
    <col min="6" max="6" width="40.6640625" style="6" customWidth="1"/>
    <col min="7" max="7" width="4.6640625" style="6" customWidth="1"/>
    <col min="8" max="8" width="5.33203125" style="6" customWidth="1"/>
    <col min="9" max="9" width="6.5" style="119" customWidth="1"/>
    <col min="10" max="11" width="8.5" style="6" customWidth="1"/>
    <col min="12" max="12" width="11.83203125" style="6" customWidth="1"/>
    <col min="13" max="13" width="5.5" style="6" customWidth="1"/>
    <col min="14" max="14" width="9" style="6" bestFit="1" customWidth="1"/>
    <col min="15" max="15" width="5.5" style="6" customWidth="1"/>
    <col min="16" max="16" width="9" style="6" bestFit="1" customWidth="1"/>
    <col min="17" max="17" width="12.1640625" style="6" customWidth="1"/>
    <col min="18" max="249" width="9.1640625" style="6"/>
    <col min="250" max="250" width="1.33203125" style="6" customWidth="1"/>
    <col min="251" max="251" width="4.33203125" style="6" customWidth="1"/>
    <col min="252" max="252" width="25.83203125" style="6" customWidth="1"/>
    <col min="253" max="253" width="7" style="6" customWidth="1"/>
    <col min="254" max="254" width="13.5" style="6" bestFit="1" customWidth="1"/>
    <col min="255" max="255" width="52.5" style="6" customWidth="1"/>
    <col min="256" max="256" width="4.6640625" style="6" customWidth="1"/>
    <col min="257" max="257" width="5.33203125" style="6" customWidth="1"/>
    <col min="258" max="258" width="6.5" style="6" customWidth="1"/>
    <col min="259" max="259" width="5.5" style="6" customWidth="1"/>
    <col min="260" max="260" width="8.5" style="6" customWidth="1"/>
    <col min="261" max="261" width="9.5" style="6" customWidth="1"/>
    <col min="262" max="262" width="5.5" style="6" customWidth="1"/>
    <col min="263" max="263" width="9" style="6" bestFit="1" customWidth="1"/>
    <col min="264" max="264" width="5.5" style="6" customWidth="1"/>
    <col min="265" max="265" width="9" style="6" bestFit="1" customWidth="1"/>
    <col min="266" max="266" width="11.5" style="6" bestFit="1" customWidth="1"/>
    <col min="267" max="267" width="9.1640625" style="6"/>
    <col min="268" max="270" width="0" style="6" hidden="1" customWidth="1"/>
    <col min="271" max="271" width="9.1640625" style="6"/>
    <col min="272" max="272" width="49" style="6" customWidth="1"/>
    <col min="273" max="505" width="9.1640625" style="6"/>
    <col min="506" max="506" width="1.33203125" style="6" customWidth="1"/>
    <col min="507" max="507" width="4.33203125" style="6" customWidth="1"/>
    <col min="508" max="508" width="25.83203125" style="6" customWidth="1"/>
    <col min="509" max="509" width="7" style="6" customWidth="1"/>
    <col min="510" max="510" width="13.5" style="6" bestFit="1" customWidth="1"/>
    <col min="511" max="511" width="52.5" style="6" customWidth="1"/>
    <col min="512" max="512" width="4.6640625" style="6" customWidth="1"/>
    <col min="513" max="513" width="5.33203125" style="6" customWidth="1"/>
    <col min="514" max="514" width="6.5" style="6" customWidth="1"/>
    <col min="515" max="515" width="5.5" style="6" customWidth="1"/>
    <col min="516" max="516" width="8.5" style="6" customWidth="1"/>
    <col min="517" max="517" width="9.5" style="6" customWidth="1"/>
    <col min="518" max="518" width="5.5" style="6" customWidth="1"/>
    <col min="519" max="519" width="9" style="6" bestFit="1" customWidth="1"/>
    <col min="520" max="520" width="5.5" style="6" customWidth="1"/>
    <col min="521" max="521" width="9" style="6" bestFit="1" customWidth="1"/>
    <col min="522" max="522" width="11.5" style="6" bestFit="1" customWidth="1"/>
    <col min="523" max="523" width="9.1640625" style="6"/>
    <col min="524" max="526" width="0" style="6" hidden="1" customWidth="1"/>
    <col min="527" max="527" width="9.1640625" style="6"/>
    <col min="528" max="528" width="49" style="6" customWidth="1"/>
    <col min="529" max="761" width="9.1640625" style="6"/>
    <col min="762" max="762" width="1.33203125" style="6" customWidth="1"/>
    <col min="763" max="763" width="4.33203125" style="6" customWidth="1"/>
    <col min="764" max="764" width="25.83203125" style="6" customWidth="1"/>
    <col min="765" max="765" width="7" style="6" customWidth="1"/>
    <col min="766" max="766" width="13.5" style="6" bestFit="1" customWidth="1"/>
    <col min="767" max="767" width="52.5" style="6" customWidth="1"/>
    <col min="768" max="768" width="4.6640625" style="6" customWidth="1"/>
    <col min="769" max="769" width="5.33203125" style="6" customWidth="1"/>
    <col min="770" max="770" width="6.5" style="6" customWidth="1"/>
    <col min="771" max="771" width="5.5" style="6" customWidth="1"/>
    <col min="772" max="772" width="8.5" style="6" customWidth="1"/>
    <col min="773" max="773" width="9.5" style="6" customWidth="1"/>
    <col min="774" max="774" width="5.5" style="6" customWidth="1"/>
    <col min="775" max="775" width="9" style="6" bestFit="1" customWidth="1"/>
    <col min="776" max="776" width="5.5" style="6" customWidth="1"/>
    <col min="777" max="777" width="9" style="6" bestFit="1" customWidth="1"/>
    <col min="778" max="778" width="11.5" style="6" bestFit="1" customWidth="1"/>
    <col min="779" max="779" width="9.1640625" style="6"/>
    <col min="780" max="782" width="0" style="6" hidden="1" customWidth="1"/>
    <col min="783" max="783" width="9.1640625" style="6"/>
    <col min="784" max="784" width="49" style="6" customWidth="1"/>
    <col min="785" max="1017" width="9.1640625" style="6"/>
    <col min="1018" max="1018" width="1.33203125" style="6" customWidth="1"/>
    <col min="1019" max="1019" width="4.33203125" style="6" customWidth="1"/>
    <col min="1020" max="1020" width="25.83203125" style="6" customWidth="1"/>
    <col min="1021" max="1021" width="7" style="6" customWidth="1"/>
    <col min="1022" max="1022" width="13.5" style="6" bestFit="1" customWidth="1"/>
    <col min="1023" max="1023" width="52.5" style="6" customWidth="1"/>
    <col min="1024" max="1024" width="4.6640625" style="6" customWidth="1"/>
    <col min="1025" max="1025" width="5.33203125" style="6" customWidth="1"/>
    <col min="1026" max="1026" width="6.5" style="6" customWidth="1"/>
    <col min="1027" max="1027" width="5.5" style="6" customWidth="1"/>
    <col min="1028" max="1028" width="8.5" style="6" customWidth="1"/>
    <col min="1029" max="1029" width="9.5" style="6" customWidth="1"/>
    <col min="1030" max="1030" width="5.5" style="6" customWidth="1"/>
    <col min="1031" max="1031" width="9" style="6" bestFit="1" customWidth="1"/>
    <col min="1032" max="1032" width="5.5" style="6" customWidth="1"/>
    <col min="1033" max="1033" width="9" style="6" bestFit="1" customWidth="1"/>
    <col min="1034" max="1034" width="11.5" style="6" bestFit="1" customWidth="1"/>
    <col min="1035" max="1035" width="9.1640625" style="6"/>
    <col min="1036" max="1038" width="0" style="6" hidden="1" customWidth="1"/>
    <col min="1039" max="1039" width="9.1640625" style="6"/>
    <col min="1040" max="1040" width="49" style="6" customWidth="1"/>
    <col min="1041" max="1273" width="9.1640625" style="6"/>
    <col min="1274" max="1274" width="1.33203125" style="6" customWidth="1"/>
    <col min="1275" max="1275" width="4.33203125" style="6" customWidth="1"/>
    <col min="1276" max="1276" width="25.83203125" style="6" customWidth="1"/>
    <col min="1277" max="1277" width="7" style="6" customWidth="1"/>
    <col min="1278" max="1278" width="13.5" style="6" bestFit="1" customWidth="1"/>
    <col min="1279" max="1279" width="52.5" style="6" customWidth="1"/>
    <col min="1280" max="1280" width="4.6640625" style="6" customWidth="1"/>
    <col min="1281" max="1281" width="5.33203125" style="6" customWidth="1"/>
    <col min="1282" max="1282" width="6.5" style="6" customWidth="1"/>
    <col min="1283" max="1283" width="5.5" style="6" customWidth="1"/>
    <col min="1284" max="1284" width="8.5" style="6" customWidth="1"/>
    <col min="1285" max="1285" width="9.5" style="6" customWidth="1"/>
    <col min="1286" max="1286" width="5.5" style="6" customWidth="1"/>
    <col min="1287" max="1287" width="9" style="6" bestFit="1" customWidth="1"/>
    <col min="1288" max="1288" width="5.5" style="6" customWidth="1"/>
    <col min="1289" max="1289" width="9" style="6" bestFit="1" customWidth="1"/>
    <col min="1290" max="1290" width="11.5" style="6" bestFit="1" customWidth="1"/>
    <col min="1291" max="1291" width="9.1640625" style="6"/>
    <col min="1292" max="1294" width="0" style="6" hidden="1" customWidth="1"/>
    <col min="1295" max="1295" width="9.1640625" style="6"/>
    <col min="1296" max="1296" width="49" style="6" customWidth="1"/>
    <col min="1297" max="1529" width="9.1640625" style="6"/>
    <col min="1530" max="1530" width="1.33203125" style="6" customWidth="1"/>
    <col min="1531" max="1531" width="4.33203125" style="6" customWidth="1"/>
    <col min="1532" max="1532" width="25.83203125" style="6" customWidth="1"/>
    <col min="1533" max="1533" width="7" style="6" customWidth="1"/>
    <col min="1534" max="1534" width="13.5" style="6" bestFit="1" customWidth="1"/>
    <col min="1535" max="1535" width="52.5" style="6" customWidth="1"/>
    <col min="1536" max="1536" width="4.6640625" style="6" customWidth="1"/>
    <col min="1537" max="1537" width="5.33203125" style="6" customWidth="1"/>
    <col min="1538" max="1538" width="6.5" style="6" customWidth="1"/>
    <col min="1539" max="1539" width="5.5" style="6" customWidth="1"/>
    <col min="1540" max="1540" width="8.5" style="6" customWidth="1"/>
    <col min="1541" max="1541" width="9.5" style="6" customWidth="1"/>
    <col min="1542" max="1542" width="5.5" style="6" customWidth="1"/>
    <col min="1543" max="1543" width="9" style="6" bestFit="1" customWidth="1"/>
    <col min="1544" max="1544" width="5.5" style="6" customWidth="1"/>
    <col min="1545" max="1545" width="9" style="6" bestFit="1" customWidth="1"/>
    <col min="1546" max="1546" width="11.5" style="6" bestFit="1" customWidth="1"/>
    <col min="1547" max="1547" width="9.1640625" style="6"/>
    <col min="1548" max="1550" width="0" style="6" hidden="1" customWidth="1"/>
    <col min="1551" max="1551" width="9.1640625" style="6"/>
    <col min="1552" max="1552" width="49" style="6" customWidth="1"/>
    <col min="1553" max="1785" width="9.1640625" style="6"/>
    <col min="1786" max="1786" width="1.33203125" style="6" customWidth="1"/>
    <col min="1787" max="1787" width="4.33203125" style="6" customWidth="1"/>
    <col min="1788" max="1788" width="25.83203125" style="6" customWidth="1"/>
    <col min="1789" max="1789" width="7" style="6" customWidth="1"/>
    <col min="1790" max="1790" width="13.5" style="6" bestFit="1" customWidth="1"/>
    <col min="1791" max="1791" width="52.5" style="6" customWidth="1"/>
    <col min="1792" max="1792" width="4.6640625" style="6" customWidth="1"/>
    <col min="1793" max="1793" width="5.33203125" style="6" customWidth="1"/>
    <col min="1794" max="1794" width="6.5" style="6" customWidth="1"/>
    <col min="1795" max="1795" width="5.5" style="6" customWidth="1"/>
    <col min="1796" max="1796" width="8.5" style="6" customWidth="1"/>
    <col min="1797" max="1797" width="9.5" style="6" customWidth="1"/>
    <col min="1798" max="1798" width="5.5" style="6" customWidth="1"/>
    <col min="1799" max="1799" width="9" style="6" bestFit="1" customWidth="1"/>
    <col min="1800" max="1800" width="5.5" style="6" customWidth="1"/>
    <col min="1801" max="1801" width="9" style="6" bestFit="1" customWidth="1"/>
    <col min="1802" max="1802" width="11.5" style="6" bestFit="1" customWidth="1"/>
    <col min="1803" max="1803" width="9.1640625" style="6"/>
    <col min="1804" max="1806" width="0" style="6" hidden="1" customWidth="1"/>
    <col min="1807" max="1807" width="9.1640625" style="6"/>
    <col min="1808" max="1808" width="49" style="6" customWidth="1"/>
    <col min="1809" max="2041" width="9.1640625" style="6"/>
    <col min="2042" max="2042" width="1.33203125" style="6" customWidth="1"/>
    <col min="2043" max="2043" width="4.33203125" style="6" customWidth="1"/>
    <col min="2044" max="2044" width="25.83203125" style="6" customWidth="1"/>
    <col min="2045" max="2045" width="7" style="6" customWidth="1"/>
    <col min="2046" max="2046" width="13.5" style="6" bestFit="1" customWidth="1"/>
    <col min="2047" max="2047" width="52.5" style="6" customWidth="1"/>
    <col min="2048" max="2048" width="4.6640625" style="6" customWidth="1"/>
    <col min="2049" max="2049" width="5.33203125" style="6" customWidth="1"/>
    <col min="2050" max="2050" width="6.5" style="6" customWidth="1"/>
    <col min="2051" max="2051" width="5.5" style="6" customWidth="1"/>
    <col min="2052" max="2052" width="8.5" style="6" customWidth="1"/>
    <col min="2053" max="2053" width="9.5" style="6" customWidth="1"/>
    <col min="2054" max="2054" width="5.5" style="6" customWidth="1"/>
    <col min="2055" max="2055" width="9" style="6" bestFit="1" customWidth="1"/>
    <col min="2056" max="2056" width="5.5" style="6" customWidth="1"/>
    <col min="2057" max="2057" width="9" style="6" bestFit="1" customWidth="1"/>
    <col min="2058" max="2058" width="11.5" style="6" bestFit="1" customWidth="1"/>
    <col min="2059" max="2059" width="9.1640625" style="6"/>
    <col min="2060" max="2062" width="0" style="6" hidden="1" customWidth="1"/>
    <col min="2063" max="2063" width="9.1640625" style="6"/>
    <col min="2064" max="2064" width="49" style="6" customWidth="1"/>
    <col min="2065" max="2297" width="9.1640625" style="6"/>
    <col min="2298" max="2298" width="1.33203125" style="6" customWidth="1"/>
    <col min="2299" max="2299" width="4.33203125" style="6" customWidth="1"/>
    <col min="2300" max="2300" width="25.83203125" style="6" customWidth="1"/>
    <col min="2301" max="2301" width="7" style="6" customWidth="1"/>
    <col min="2302" max="2302" width="13.5" style="6" bestFit="1" customWidth="1"/>
    <col min="2303" max="2303" width="52.5" style="6" customWidth="1"/>
    <col min="2304" max="2304" width="4.6640625" style="6" customWidth="1"/>
    <col min="2305" max="2305" width="5.33203125" style="6" customWidth="1"/>
    <col min="2306" max="2306" width="6.5" style="6" customWidth="1"/>
    <col min="2307" max="2307" width="5.5" style="6" customWidth="1"/>
    <col min="2308" max="2308" width="8.5" style="6" customWidth="1"/>
    <col min="2309" max="2309" width="9.5" style="6" customWidth="1"/>
    <col min="2310" max="2310" width="5.5" style="6" customWidth="1"/>
    <col min="2311" max="2311" width="9" style="6" bestFit="1" customWidth="1"/>
    <col min="2312" max="2312" width="5.5" style="6" customWidth="1"/>
    <col min="2313" max="2313" width="9" style="6" bestFit="1" customWidth="1"/>
    <col min="2314" max="2314" width="11.5" style="6" bestFit="1" customWidth="1"/>
    <col min="2315" max="2315" width="9.1640625" style="6"/>
    <col min="2316" max="2318" width="0" style="6" hidden="1" customWidth="1"/>
    <col min="2319" max="2319" width="9.1640625" style="6"/>
    <col min="2320" max="2320" width="49" style="6" customWidth="1"/>
    <col min="2321" max="2553" width="9.1640625" style="6"/>
    <col min="2554" max="2554" width="1.33203125" style="6" customWidth="1"/>
    <col min="2555" max="2555" width="4.33203125" style="6" customWidth="1"/>
    <col min="2556" max="2556" width="25.83203125" style="6" customWidth="1"/>
    <col min="2557" max="2557" width="7" style="6" customWidth="1"/>
    <col min="2558" max="2558" width="13.5" style="6" bestFit="1" customWidth="1"/>
    <col min="2559" max="2559" width="52.5" style="6" customWidth="1"/>
    <col min="2560" max="2560" width="4.6640625" style="6" customWidth="1"/>
    <col min="2561" max="2561" width="5.33203125" style="6" customWidth="1"/>
    <col min="2562" max="2562" width="6.5" style="6" customWidth="1"/>
    <col min="2563" max="2563" width="5.5" style="6" customWidth="1"/>
    <col min="2564" max="2564" width="8.5" style="6" customWidth="1"/>
    <col min="2565" max="2565" width="9.5" style="6" customWidth="1"/>
    <col min="2566" max="2566" width="5.5" style="6" customWidth="1"/>
    <col min="2567" max="2567" width="9" style="6" bestFit="1" customWidth="1"/>
    <col min="2568" max="2568" width="5.5" style="6" customWidth="1"/>
    <col min="2569" max="2569" width="9" style="6" bestFit="1" customWidth="1"/>
    <col min="2570" max="2570" width="11.5" style="6" bestFit="1" customWidth="1"/>
    <col min="2571" max="2571" width="9.1640625" style="6"/>
    <col min="2572" max="2574" width="0" style="6" hidden="1" customWidth="1"/>
    <col min="2575" max="2575" width="9.1640625" style="6"/>
    <col min="2576" max="2576" width="49" style="6" customWidth="1"/>
    <col min="2577" max="2809" width="9.1640625" style="6"/>
    <col min="2810" max="2810" width="1.33203125" style="6" customWidth="1"/>
    <col min="2811" max="2811" width="4.33203125" style="6" customWidth="1"/>
    <col min="2812" max="2812" width="25.83203125" style="6" customWidth="1"/>
    <col min="2813" max="2813" width="7" style="6" customWidth="1"/>
    <col min="2814" max="2814" width="13.5" style="6" bestFit="1" customWidth="1"/>
    <col min="2815" max="2815" width="52.5" style="6" customWidth="1"/>
    <col min="2816" max="2816" width="4.6640625" style="6" customWidth="1"/>
    <col min="2817" max="2817" width="5.33203125" style="6" customWidth="1"/>
    <col min="2818" max="2818" width="6.5" style="6" customWidth="1"/>
    <col min="2819" max="2819" width="5.5" style="6" customWidth="1"/>
    <col min="2820" max="2820" width="8.5" style="6" customWidth="1"/>
    <col min="2821" max="2821" width="9.5" style="6" customWidth="1"/>
    <col min="2822" max="2822" width="5.5" style="6" customWidth="1"/>
    <col min="2823" max="2823" width="9" style="6" bestFit="1" customWidth="1"/>
    <col min="2824" max="2824" width="5.5" style="6" customWidth="1"/>
    <col min="2825" max="2825" width="9" style="6" bestFit="1" customWidth="1"/>
    <col min="2826" max="2826" width="11.5" style="6" bestFit="1" customWidth="1"/>
    <col min="2827" max="2827" width="9.1640625" style="6"/>
    <col min="2828" max="2830" width="0" style="6" hidden="1" customWidth="1"/>
    <col min="2831" max="2831" width="9.1640625" style="6"/>
    <col min="2832" max="2832" width="49" style="6" customWidth="1"/>
    <col min="2833" max="3065" width="9.1640625" style="6"/>
    <col min="3066" max="3066" width="1.33203125" style="6" customWidth="1"/>
    <col min="3067" max="3067" width="4.33203125" style="6" customWidth="1"/>
    <col min="3068" max="3068" width="25.83203125" style="6" customWidth="1"/>
    <col min="3069" max="3069" width="7" style="6" customWidth="1"/>
    <col min="3070" max="3070" width="13.5" style="6" bestFit="1" customWidth="1"/>
    <col min="3071" max="3071" width="52.5" style="6" customWidth="1"/>
    <col min="3072" max="3072" width="4.6640625" style="6" customWidth="1"/>
    <col min="3073" max="3073" width="5.33203125" style="6" customWidth="1"/>
    <col min="3074" max="3074" width="6.5" style="6" customWidth="1"/>
    <col min="3075" max="3075" width="5.5" style="6" customWidth="1"/>
    <col min="3076" max="3076" width="8.5" style="6" customWidth="1"/>
    <col min="3077" max="3077" width="9.5" style="6" customWidth="1"/>
    <col min="3078" max="3078" width="5.5" style="6" customWidth="1"/>
    <col min="3079" max="3079" width="9" style="6" bestFit="1" customWidth="1"/>
    <col min="3080" max="3080" width="5.5" style="6" customWidth="1"/>
    <col min="3081" max="3081" width="9" style="6" bestFit="1" customWidth="1"/>
    <col min="3082" max="3082" width="11.5" style="6" bestFit="1" customWidth="1"/>
    <col min="3083" max="3083" width="9.1640625" style="6"/>
    <col min="3084" max="3086" width="0" style="6" hidden="1" customWidth="1"/>
    <col min="3087" max="3087" width="9.1640625" style="6"/>
    <col min="3088" max="3088" width="49" style="6" customWidth="1"/>
    <col min="3089" max="3321" width="9.1640625" style="6"/>
    <col min="3322" max="3322" width="1.33203125" style="6" customWidth="1"/>
    <col min="3323" max="3323" width="4.33203125" style="6" customWidth="1"/>
    <col min="3324" max="3324" width="25.83203125" style="6" customWidth="1"/>
    <col min="3325" max="3325" width="7" style="6" customWidth="1"/>
    <col min="3326" max="3326" width="13.5" style="6" bestFit="1" customWidth="1"/>
    <col min="3327" max="3327" width="52.5" style="6" customWidth="1"/>
    <col min="3328" max="3328" width="4.6640625" style="6" customWidth="1"/>
    <col min="3329" max="3329" width="5.33203125" style="6" customWidth="1"/>
    <col min="3330" max="3330" width="6.5" style="6" customWidth="1"/>
    <col min="3331" max="3331" width="5.5" style="6" customWidth="1"/>
    <col min="3332" max="3332" width="8.5" style="6" customWidth="1"/>
    <col min="3333" max="3333" width="9.5" style="6" customWidth="1"/>
    <col min="3334" max="3334" width="5.5" style="6" customWidth="1"/>
    <col min="3335" max="3335" width="9" style="6" bestFit="1" customWidth="1"/>
    <col min="3336" max="3336" width="5.5" style="6" customWidth="1"/>
    <col min="3337" max="3337" width="9" style="6" bestFit="1" customWidth="1"/>
    <col min="3338" max="3338" width="11.5" style="6" bestFit="1" customWidth="1"/>
    <col min="3339" max="3339" width="9.1640625" style="6"/>
    <col min="3340" max="3342" width="0" style="6" hidden="1" customWidth="1"/>
    <col min="3343" max="3343" width="9.1640625" style="6"/>
    <col min="3344" max="3344" width="49" style="6" customWidth="1"/>
    <col min="3345" max="3577" width="9.1640625" style="6"/>
    <col min="3578" max="3578" width="1.33203125" style="6" customWidth="1"/>
    <col min="3579" max="3579" width="4.33203125" style="6" customWidth="1"/>
    <col min="3580" max="3580" width="25.83203125" style="6" customWidth="1"/>
    <col min="3581" max="3581" width="7" style="6" customWidth="1"/>
    <col min="3582" max="3582" width="13.5" style="6" bestFit="1" customWidth="1"/>
    <col min="3583" max="3583" width="52.5" style="6" customWidth="1"/>
    <col min="3584" max="3584" width="4.6640625" style="6" customWidth="1"/>
    <col min="3585" max="3585" width="5.33203125" style="6" customWidth="1"/>
    <col min="3586" max="3586" width="6.5" style="6" customWidth="1"/>
    <col min="3587" max="3587" width="5.5" style="6" customWidth="1"/>
    <col min="3588" max="3588" width="8.5" style="6" customWidth="1"/>
    <col min="3589" max="3589" width="9.5" style="6" customWidth="1"/>
    <col min="3590" max="3590" width="5.5" style="6" customWidth="1"/>
    <col min="3591" max="3591" width="9" style="6" bestFit="1" customWidth="1"/>
    <col min="3592" max="3592" width="5.5" style="6" customWidth="1"/>
    <col min="3593" max="3593" width="9" style="6" bestFit="1" customWidth="1"/>
    <col min="3594" max="3594" width="11.5" style="6" bestFit="1" customWidth="1"/>
    <col min="3595" max="3595" width="9.1640625" style="6"/>
    <col min="3596" max="3598" width="0" style="6" hidden="1" customWidth="1"/>
    <col min="3599" max="3599" width="9.1640625" style="6"/>
    <col min="3600" max="3600" width="49" style="6" customWidth="1"/>
    <col min="3601" max="3833" width="9.1640625" style="6"/>
    <col min="3834" max="3834" width="1.33203125" style="6" customWidth="1"/>
    <col min="3835" max="3835" width="4.33203125" style="6" customWidth="1"/>
    <col min="3836" max="3836" width="25.83203125" style="6" customWidth="1"/>
    <col min="3837" max="3837" width="7" style="6" customWidth="1"/>
    <col min="3838" max="3838" width="13.5" style="6" bestFit="1" customWidth="1"/>
    <col min="3839" max="3839" width="52.5" style="6" customWidth="1"/>
    <col min="3840" max="3840" width="4.6640625" style="6" customWidth="1"/>
    <col min="3841" max="3841" width="5.33203125" style="6" customWidth="1"/>
    <col min="3842" max="3842" width="6.5" style="6" customWidth="1"/>
    <col min="3843" max="3843" width="5.5" style="6" customWidth="1"/>
    <col min="3844" max="3844" width="8.5" style="6" customWidth="1"/>
    <col min="3845" max="3845" width="9.5" style="6" customWidth="1"/>
    <col min="3846" max="3846" width="5.5" style="6" customWidth="1"/>
    <col min="3847" max="3847" width="9" style="6" bestFit="1" customWidth="1"/>
    <col min="3848" max="3848" width="5.5" style="6" customWidth="1"/>
    <col min="3849" max="3849" width="9" style="6" bestFit="1" customWidth="1"/>
    <col min="3850" max="3850" width="11.5" style="6" bestFit="1" customWidth="1"/>
    <col min="3851" max="3851" width="9.1640625" style="6"/>
    <col min="3852" max="3854" width="0" style="6" hidden="1" customWidth="1"/>
    <col min="3855" max="3855" width="9.1640625" style="6"/>
    <col min="3856" max="3856" width="49" style="6" customWidth="1"/>
    <col min="3857" max="4089" width="9.1640625" style="6"/>
    <col min="4090" max="4090" width="1.33203125" style="6" customWidth="1"/>
    <col min="4091" max="4091" width="4.33203125" style="6" customWidth="1"/>
    <col min="4092" max="4092" width="25.83203125" style="6" customWidth="1"/>
    <col min="4093" max="4093" width="7" style="6" customWidth="1"/>
    <col min="4094" max="4094" width="13.5" style="6" bestFit="1" customWidth="1"/>
    <col min="4095" max="4095" width="52.5" style="6" customWidth="1"/>
    <col min="4096" max="4096" width="4.6640625" style="6" customWidth="1"/>
    <col min="4097" max="4097" width="5.33203125" style="6" customWidth="1"/>
    <col min="4098" max="4098" width="6.5" style="6" customWidth="1"/>
    <col min="4099" max="4099" width="5.5" style="6" customWidth="1"/>
    <col min="4100" max="4100" width="8.5" style="6" customWidth="1"/>
    <col min="4101" max="4101" width="9.5" style="6" customWidth="1"/>
    <col min="4102" max="4102" width="5.5" style="6" customWidth="1"/>
    <col min="4103" max="4103" width="9" style="6" bestFit="1" customWidth="1"/>
    <col min="4104" max="4104" width="5.5" style="6" customWidth="1"/>
    <col min="4105" max="4105" width="9" style="6" bestFit="1" customWidth="1"/>
    <col min="4106" max="4106" width="11.5" style="6" bestFit="1" customWidth="1"/>
    <col min="4107" max="4107" width="9.1640625" style="6"/>
    <col min="4108" max="4110" width="0" style="6" hidden="1" customWidth="1"/>
    <col min="4111" max="4111" width="9.1640625" style="6"/>
    <col min="4112" max="4112" width="49" style="6" customWidth="1"/>
    <col min="4113" max="4345" width="9.1640625" style="6"/>
    <col min="4346" max="4346" width="1.33203125" style="6" customWidth="1"/>
    <col min="4347" max="4347" width="4.33203125" style="6" customWidth="1"/>
    <col min="4348" max="4348" width="25.83203125" style="6" customWidth="1"/>
    <col min="4349" max="4349" width="7" style="6" customWidth="1"/>
    <col min="4350" max="4350" width="13.5" style="6" bestFit="1" customWidth="1"/>
    <col min="4351" max="4351" width="52.5" style="6" customWidth="1"/>
    <col min="4352" max="4352" width="4.6640625" style="6" customWidth="1"/>
    <col min="4353" max="4353" width="5.33203125" style="6" customWidth="1"/>
    <col min="4354" max="4354" width="6.5" style="6" customWidth="1"/>
    <col min="4355" max="4355" width="5.5" style="6" customWidth="1"/>
    <col min="4356" max="4356" width="8.5" style="6" customWidth="1"/>
    <col min="4357" max="4357" width="9.5" style="6" customWidth="1"/>
    <col min="4358" max="4358" width="5.5" style="6" customWidth="1"/>
    <col min="4359" max="4359" width="9" style="6" bestFit="1" customWidth="1"/>
    <col min="4360" max="4360" width="5.5" style="6" customWidth="1"/>
    <col min="4361" max="4361" width="9" style="6" bestFit="1" customWidth="1"/>
    <col min="4362" max="4362" width="11.5" style="6" bestFit="1" customWidth="1"/>
    <col min="4363" max="4363" width="9.1640625" style="6"/>
    <col min="4364" max="4366" width="0" style="6" hidden="1" customWidth="1"/>
    <col min="4367" max="4367" width="9.1640625" style="6"/>
    <col min="4368" max="4368" width="49" style="6" customWidth="1"/>
    <col min="4369" max="4601" width="9.1640625" style="6"/>
    <col min="4602" max="4602" width="1.33203125" style="6" customWidth="1"/>
    <col min="4603" max="4603" width="4.33203125" style="6" customWidth="1"/>
    <col min="4604" max="4604" width="25.83203125" style="6" customWidth="1"/>
    <col min="4605" max="4605" width="7" style="6" customWidth="1"/>
    <col min="4606" max="4606" width="13.5" style="6" bestFit="1" customWidth="1"/>
    <col min="4607" max="4607" width="52.5" style="6" customWidth="1"/>
    <col min="4608" max="4608" width="4.6640625" style="6" customWidth="1"/>
    <col min="4609" max="4609" width="5.33203125" style="6" customWidth="1"/>
    <col min="4610" max="4610" width="6.5" style="6" customWidth="1"/>
    <col min="4611" max="4611" width="5.5" style="6" customWidth="1"/>
    <col min="4612" max="4612" width="8.5" style="6" customWidth="1"/>
    <col min="4613" max="4613" width="9.5" style="6" customWidth="1"/>
    <col min="4614" max="4614" width="5.5" style="6" customWidth="1"/>
    <col min="4615" max="4615" width="9" style="6" bestFit="1" customWidth="1"/>
    <col min="4616" max="4616" width="5.5" style="6" customWidth="1"/>
    <col min="4617" max="4617" width="9" style="6" bestFit="1" customWidth="1"/>
    <col min="4618" max="4618" width="11.5" style="6" bestFit="1" customWidth="1"/>
    <col min="4619" max="4619" width="9.1640625" style="6"/>
    <col min="4620" max="4622" width="0" style="6" hidden="1" customWidth="1"/>
    <col min="4623" max="4623" width="9.1640625" style="6"/>
    <col min="4624" max="4624" width="49" style="6" customWidth="1"/>
    <col min="4625" max="4857" width="9.1640625" style="6"/>
    <col min="4858" max="4858" width="1.33203125" style="6" customWidth="1"/>
    <col min="4859" max="4859" width="4.33203125" style="6" customWidth="1"/>
    <col min="4860" max="4860" width="25.83203125" style="6" customWidth="1"/>
    <col min="4861" max="4861" width="7" style="6" customWidth="1"/>
    <col min="4862" max="4862" width="13.5" style="6" bestFit="1" customWidth="1"/>
    <col min="4863" max="4863" width="52.5" style="6" customWidth="1"/>
    <col min="4864" max="4864" width="4.6640625" style="6" customWidth="1"/>
    <col min="4865" max="4865" width="5.33203125" style="6" customWidth="1"/>
    <col min="4866" max="4866" width="6.5" style="6" customWidth="1"/>
    <col min="4867" max="4867" width="5.5" style="6" customWidth="1"/>
    <col min="4868" max="4868" width="8.5" style="6" customWidth="1"/>
    <col min="4869" max="4869" width="9.5" style="6" customWidth="1"/>
    <col min="4870" max="4870" width="5.5" style="6" customWidth="1"/>
    <col min="4871" max="4871" width="9" style="6" bestFit="1" customWidth="1"/>
    <col min="4872" max="4872" width="5.5" style="6" customWidth="1"/>
    <col min="4873" max="4873" width="9" style="6" bestFit="1" customWidth="1"/>
    <col min="4874" max="4874" width="11.5" style="6" bestFit="1" customWidth="1"/>
    <col min="4875" max="4875" width="9.1640625" style="6"/>
    <col min="4876" max="4878" width="0" style="6" hidden="1" customWidth="1"/>
    <col min="4879" max="4879" width="9.1640625" style="6"/>
    <col min="4880" max="4880" width="49" style="6" customWidth="1"/>
    <col min="4881" max="5113" width="9.1640625" style="6"/>
    <col min="5114" max="5114" width="1.33203125" style="6" customWidth="1"/>
    <col min="5115" max="5115" width="4.33203125" style="6" customWidth="1"/>
    <col min="5116" max="5116" width="25.83203125" style="6" customWidth="1"/>
    <col min="5117" max="5117" width="7" style="6" customWidth="1"/>
    <col min="5118" max="5118" width="13.5" style="6" bestFit="1" customWidth="1"/>
    <col min="5119" max="5119" width="52.5" style="6" customWidth="1"/>
    <col min="5120" max="5120" width="4.6640625" style="6" customWidth="1"/>
    <col min="5121" max="5121" width="5.33203125" style="6" customWidth="1"/>
    <col min="5122" max="5122" width="6.5" style="6" customWidth="1"/>
    <col min="5123" max="5123" width="5.5" style="6" customWidth="1"/>
    <col min="5124" max="5124" width="8.5" style="6" customWidth="1"/>
    <col min="5125" max="5125" width="9.5" style="6" customWidth="1"/>
    <col min="5126" max="5126" width="5.5" style="6" customWidth="1"/>
    <col min="5127" max="5127" width="9" style="6" bestFit="1" customWidth="1"/>
    <col min="5128" max="5128" width="5.5" style="6" customWidth="1"/>
    <col min="5129" max="5129" width="9" style="6" bestFit="1" customWidth="1"/>
    <col min="5130" max="5130" width="11.5" style="6" bestFit="1" customWidth="1"/>
    <col min="5131" max="5131" width="9.1640625" style="6"/>
    <col min="5132" max="5134" width="0" style="6" hidden="1" customWidth="1"/>
    <col min="5135" max="5135" width="9.1640625" style="6"/>
    <col min="5136" max="5136" width="49" style="6" customWidth="1"/>
    <col min="5137" max="5369" width="9.1640625" style="6"/>
    <col min="5370" max="5370" width="1.33203125" style="6" customWidth="1"/>
    <col min="5371" max="5371" width="4.33203125" style="6" customWidth="1"/>
    <col min="5372" max="5372" width="25.83203125" style="6" customWidth="1"/>
    <col min="5373" max="5373" width="7" style="6" customWidth="1"/>
    <col min="5374" max="5374" width="13.5" style="6" bestFit="1" customWidth="1"/>
    <col min="5375" max="5375" width="52.5" style="6" customWidth="1"/>
    <col min="5376" max="5376" width="4.6640625" style="6" customWidth="1"/>
    <col min="5377" max="5377" width="5.33203125" style="6" customWidth="1"/>
    <col min="5378" max="5378" width="6.5" style="6" customWidth="1"/>
    <col min="5379" max="5379" width="5.5" style="6" customWidth="1"/>
    <col min="5380" max="5380" width="8.5" style="6" customWidth="1"/>
    <col min="5381" max="5381" width="9.5" style="6" customWidth="1"/>
    <col min="5382" max="5382" width="5.5" style="6" customWidth="1"/>
    <col min="5383" max="5383" width="9" style="6" bestFit="1" customWidth="1"/>
    <col min="5384" max="5384" width="5.5" style="6" customWidth="1"/>
    <col min="5385" max="5385" width="9" style="6" bestFit="1" customWidth="1"/>
    <col min="5386" max="5386" width="11.5" style="6" bestFit="1" customWidth="1"/>
    <col min="5387" max="5387" width="9.1640625" style="6"/>
    <col min="5388" max="5390" width="0" style="6" hidden="1" customWidth="1"/>
    <col min="5391" max="5391" width="9.1640625" style="6"/>
    <col min="5392" max="5392" width="49" style="6" customWidth="1"/>
    <col min="5393" max="5625" width="9.1640625" style="6"/>
    <col min="5626" max="5626" width="1.33203125" style="6" customWidth="1"/>
    <col min="5627" max="5627" width="4.33203125" style="6" customWidth="1"/>
    <col min="5628" max="5628" width="25.83203125" style="6" customWidth="1"/>
    <col min="5629" max="5629" width="7" style="6" customWidth="1"/>
    <col min="5630" max="5630" width="13.5" style="6" bestFit="1" customWidth="1"/>
    <col min="5631" max="5631" width="52.5" style="6" customWidth="1"/>
    <col min="5632" max="5632" width="4.6640625" style="6" customWidth="1"/>
    <col min="5633" max="5633" width="5.33203125" style="6" customWidth="1"/>
    <col min="5634" max="5634" width="6.5" style="6" customWidth="1"/>
    <col min="5635" max="5635" width="5.5" style="6" customWidth="1"/>
    <col min="5636" max="5636" width="8.5" style="6" customWidth="1"/>
    <col min="5637" max="5637" width="9.5" style="6" customWidth="1"/>
    <col min="5638" max="5638" width="5.5" style="6" customWidth="1"/>
    <col min="5639" max="5639" width="9" style="6" bestFit="1" customWidth="1"/>
    <col min="5640" max="5640" width="5.5" style="6" customWidth="1"/>
    <col min="5641" max="5641" width="9" style="6" bestFit="1" customWidth="1"/>
    <col min="5642" max="5642" width="11.5" style="6" bestFit="1" customWidth="1"/>
    <col min="5643" max="5643" width="9.1640625" style="6"/>
    <col min="5644" max="5646" width="0" style="6" hidden="1" customWidth="1"/>
    <col min="5647" max="5647" width="9.1640625" style="6"/>
    <col min="5648" max="5648" width="49" style="6" customWidth="1"/>
    <col min="5649" max="5881" width="9.1640625" style="6"/>
    <col min="5882" max="5882" width="1.33203125" style="6" customWidth="1"/>
    <col min="5883" max="5883" width="4.33203125" style="6" customWidth="1"/>
    <col min="5884" max="5884" width="25.83203125" style="6" customWidth="1"/>
    <col min="5885" max="5885" width="7" style="6" customWidth="1"/>
    <col min="5886" max="5886" width="13.5" style="6" bestFit="1" customWidth="1"/>
    <col min="5887" max="5887" width="52.5" style="6" customWidth="1"/>
    <col min="5888" max="5888" width="4.6640625" style="6" customWidth="1"/>
    <col min="5889" max="5889" width="5.33203125" style="6" customWidth="1"/>
    <col min="5890" max="5890" width="6.5" style="6" customWidth="1"/>
    <col min="5891" max="5891" width="5.5" style="6" customWidth="1"/>
    <col min="5892" max="5892" width="8.5" style="6" customWidth="1"/>
    <col min="5893" max="5893" width="9.5" style="6" customWidth="1"/>
    <col min="5894" max="5894" width="5.5" style="6" customWidth="1"/>
    <col min="5895" max="5895" width="9" style="6" bestFit="1" customWidth="1"/>
    <col min="5896" max="5896" width="5.5" style="6" customWidth="1"/>
    <col min="5897" max="5897" width="9" style="6" bestFit="1" customWidth="1"/>
    <col min="5898" max="5898" width="11.5" style="6" bestFit="1" customWidth="1"/>
    <col min="5899" max="5899" width="9.1640625" style="6"/>
    <col min="5900" max="5902" width="0" style="6" hidden="1" customWidth="1"/>
    <col min="5903" max="5903" width="9.1640625" style="6"/>
    <col min="5904" max="5904" width="49" style="6" customWidth="1"/>
    <col min="5905" max="6137" width="9.1640625" style="6"/>
    <col min="6138" max="6138" width="1.33203125" style="6" customWidth="1"/>
    <col min="6139" max="6139" width="4.33203125" style="6" customWidth="1"/>
    <col min="6140" max="6140" width="25.83203125" style="6" customWidth="1"/>
    <col min="6141" max="6141" width="7" style="6" customWidth="1"/>
    <col min="6142" max="6142" width="13.5" style="6" bestFit="1" customWidth="1"/>
    <col min="6143" max="6143" width="52.5" style="6" customWidth="1"/>
    <col min="6144" max="6144" width="4.6640625" style="6" customWidth="1"/>
    <col min="6145" max="6145" width="5.33203125" style="6" customWidth="1"/>
    <col min="6146" max="6146" width="6.5" style="6" customWidth="1"/>
    <col min="6147" max="6147" width="5.5" style="6" customWidth="1"/>
    <col min="6148" max="6148" width="8.5" style="6" customWidth="1"/>
    <col min="6149" max="6149" width="9.5" style="6" customWidth="1"/>
    <col min="6150" max="6150" width="5.5" style="6" customWidth="1"/>
    <col min="6151" max="6151" width="9" style="6" bestFit="1" customWidth="1"/>
    <col min="6152" max="6152" width="5.5" style="6" customWidth="1"/>
    <col min="6153" max="6153" width="9" style="6" bestFit="1" customWidth="1"/>
    <col min="6154" max="6154" width="11.5" style="6" bestFit="1" customWidth="1"/>
    <col min="6155" max="6155" width="9.1640625" style="6"/>
    <col min="6156" max="6158" width="0" style="6" hidden="1" customWidth="1"/>
    <col min="6159" max="6159" width="9.1640625" style="6"/>
    <col min="6160" max="6160" width="49" style="6" customWidth="1"/>
    <col min="6161" max="6393" width="9.1640625" style="6"/>
    <col min="6394" max="6394" width="1.33203125" style="6" customWidth="1"/>
    <col min="6395" max="6395" width="4.33203125" style="6" customWidth="1"/>
    <col min="6396" max="6396" width="25.83203125" style="6" customWidth="1"/>
    <col min="6397" max="6397" width="7" style="6" customWidth="1"/>
    <col min="6398" max="6398" width="13.5" style="6" bestFit="1" customWidth="1"/>
    <col min="6399" max="6399" width="52.5" style="6" customWidth="1"/>
    <col min="6400" max="6400" width="4.6640625" style="6" customWidth="1"/>
    <col min="6401" max="6401" width="5.33203125" style="6" customWidth="1"/>
    <col min="6402" max="6402" width="6.5" style="6" customWidth="1"/>
    <col min="6403" max="6403" width="5.5" style="6" customWidth="1"/>
    <col min="6404" max="6404" width="8.5" style="6" customWidth="1"/>
    <col min="6405" max="6405" width="9.5" style="6" customWidth="1"/>
    <col min="6406" max="6406" width="5.5" style="6" customWidth="1"/>
    <col min="6407" max="6407" width="9" style="6" bestFit="1" customWidth="1"/>
    <col min="6408" max="6408" width="5.5" style="6" customWidth="1"/>
    <col min="6409" max="6409" width="9" style="6" bestFit="1" customWidth="1"/>
    <col min="6410" max="6410" width="11.5" style="6" bestFit="1" customWidth="1"/>
    <col min="6411" max="6411" width="9.1640625" style="6"/>
    <col min="6412" max="6414" width="0" style="6" hidden="1" customWidth="1"/>
    <col min="6415" max="6415" width="9.1640625" style="6"/>
    <col min="6416" max="6416" width="49" style="6" customWidth="1"/>
    <col min="6417" max="6649" width="9.1640625" style="6"/>
    <col min="6650" max="6650" width="1.33203125" style="6" customWidth="1"/>
    <col min="6651" max="6651" width="4.33203125" style="6" customWidth="1"/>
    <col min="6652" max="6652" width="25.83203125" style="6" customWidth="1"/>
    <col min="6653" max="6653" width="7" style="6" customWidth="1"/>
    <col min="6654" max="6654" width="13.5" style="6" bestFit="1" customWidth="1"/>
    <col min="6655" max="6655" width="52.5" style="6" customWidth="1"/>
    <col min="6656" max="6656" width="4.6640625" style="6" customWidth="1"/>
    <col min="6657" max="6657" width="5.33203125" style="6" customWidth="1"/>
    <col min="6658" max="6658" width="6.5" style="6" customWidth="1"/>
    <col min="6659" max="6659" width="5.5" style="6" customWidth="1"/>
    <col min="6660" max="6660" width="8.5" style="6" customWidth="1"/>
    <col min="6661" max="6661" width="9.5" style="6" customWidth="1"/>
    <col min="6662" max="6662" width="5.5" style="6" customWidth="1"/>
    <col min="6663" max="6663" width="9" style="6" bestFit="1" customWidth="1"/>
    <col min="6664" max="6664" width="5.5" style="6" customWidth="1"/>
    <col min="6665" max="6665" width="9" style="6" bestFit="1" customWidth="1"/>
    <col min="6666" max="6666" width="11.5" style="6" bestFit="1" customWidth="1"/>
    <col min="6667" max="6667" width="9.1640625" style="6"/>
    <col min="6668" max="6670" width="0" style="6" hidden="1" customWidth="1"/>
    <col min="6671" max="6671" width="9.1640625" style="6"/>
    <col min="6672" max="6672" width="49" style="6" customWidth="1"/>
    <col min="6673" max="6905" width="9.1640625" style="6"/>
    <col min="6906" max="6906" width="1.33203125" style="6" customWidth="1"/>
    <col min="6907" max="6907" width="4.33203125" style="6" customWidth="1"/>
    <col min="6908" max="6908" width="25.83203125" style="6" customWidth="1"/>
    <col min="6909" max="6909" width="7" style="6" customWidth="1"/>
    <col min="6910" max="6910" width="13.5" style="6" bestFit="1" customWidth="1"/>
    <col min="6911" max="6911" width="52.5" style="6" customWidth="1"/>
    <col min="6912" max="6912" width="4.6640625" style="6" customWidth="1"/>
    <col min="6913" max="6913" width="5.33203125" style="6" customWidth="1"/>
    <col min="6914" max="6914" width="6.5" style="6" customWidth="1"/>
    <col min="6915" max="6915" width="5.5" style="6" customWidth="1"/>
    <col min="6916" max="6916" width="8.5" style="6" customWidth="1"/>
    <col min="6917" max="6917" width="9.5" style="6" customWidth="1"/>
    <col min="6918" max="6918" width="5.5" style="6" customWidth="1"/>
    <col min="6919" max="6919" width="9" style="6" bestFit="1" customWidth="1"/>
    <col min="6920" max="6920" width="5.5" style="6" customWidth="1"/>
    <col min="6921" max="6921" width="9" style="6" bestFit="1" customWidth="1"/>
    <col min="6922" max="6922" width="11.5" style="6" bestFit="1" customWidth="1"/>
    <col min="6923" max="6923" width="9.1640625" style="6"/>
    <col min="6924" max="6926" width="0" style="6" hidden="1" customWidth="1"/>
    <col min="6927" max="6927" width="9.1640625" style="6"/>
    <col min="6928" max="6928" width="49" style="6" customWidth="1"/>
    <col min="6929" max="7161" width="9.1640625" style="6"/>
    <col min="7162" max="7162" width="1.33203125" style="6" customWidth="1"/>
    <col min="7163" max="7163" width="4.33203125" style="6" customWidth="1"/>
    <col min="7164" max="7164" width="25.83203125" style="6" customWidth="1"/>
    <col min="7165" max="7165" width="7" style="6" customWidth="1"/>
    <col min="7166" max="7166" width="13.5" style="6" bestFit="1" customWidth="1"/>
    <col min="7167" max="7167" width="52.5" style="6" customWidth="1"/>
    <col min="7168" max="7168" width="4.6640625" style="6" customWidth="1"/>
    <col min="7169" max="7169" width="5.33203125" style="6" customWidth="1"/>
    <col min="7170" max="7170" width="6.5" style="6" customWidth="1"/>
    <col min="7171" max="7171" width="5.5" style="6" customWidth="1"/>
    <col min="7172" max="7172" width="8.5" style="6" customWidth="1"/>
    <col min="7173" max="7173" width="9.5" style="6" customWidth="1"/>
    <col min="7174" max="7174" width="5.5" style="6" customWidth="1"/>
    <col min="7175" max="7175" width="9" style="6" bestFit="1" customWidth="1"/>
    <col min="7176" max="7176" width="5.5" style="6" customWidth="1"/>
    <col min="7177" max="7177" width="9" style="6" bestFit="1" customWidth="1"/>
    <col min="7178" max="7178" width="11.5" style="6" bestFit="1" customWidth="1"/>
    <col min="7179" max="7179" width="9.1640625" style="6"/>
    <col min="7180" max="7182" width="0" style="6" hidden="1" customWidth="1"/>
    <col min="7183" max="7183" width="9.1640625" style="6"/>
    <col min="7184" max="7184" width="49" style="6" customWidth="1"/>
    <col min="7185" max="7417" width="9.1640625" style="6"/>
    <col min="7418" max="7418" width="1.33203125" style="6" customWidth="1"/>
    <col min="7419" max="7419" width="4.33203125" style="6" customWidth="1"/>
    <col min="7420" max="7420" width="25.83203125" style="6" customWidth="1"/>
    <col min="7421" max="7421" width="7" style="6" customWidth="1"/>
    <col min="7422" max="7422" width="13.5" style="6" bestFit="1" customWidth="1"/>
    <col min="7423" max="7423" width="52.5" style="6" customWidth="1"/>
    <col min="7424" max="7424" width="4.6640625" style="6" customWidth="1"/>
    <col min="7425" max="7425" width="5.33203125" style="6" customWidth="1"/>
    <col min="7426" max="7426" width="6.5" style="6" customWidth="1"/>
    <col min="7427" max="7427" width="5.5" style="6" customWidth="1"/>
    <col min="7428" max="7428" width="8.5" style="6" customWidth="1"/>
    <col min="7429" max="7429" width="9.5" style="6" customWidth="1"/>
    <col min="7430" max="7430" width="5.5" style="6" customWidth="1"/>
    <col min="7431" max="7431" width="9" style="6" bestFit="1" customWidth="1"/>
    <col min="7432" max="7432" width="5.5" style="6" customWidth="1"/>
    <col min="7433" max="7433" width="9" style="6" bestFit="1" customWidth="1"/>
    <col min="7434" max="7434" width="11.5" style="6" bestFit="1" customWidth="1"/>
    <col min="7435" max="7435" width="9.1640625" style="6"/>
    <col min="7436" max="7438" width="0" style="6" hidden="1" customWidth="1"/>
    <col min="7439" max="7439" width="9.1640625" style="6"/>
    <col min="7440" max="7440" width="49" style="6" customWidth="1"/>
    <col min="7441" max="7673" width="9.1640625" style="6"/>
    <col min="7674" max="7674" width="1.33203125" style="6" customWidth="1"/>
    <col min="7675" max="7675" width="4.33203125" style="6" customWidth="1"/>
    <col min="7676" max="7676" width="25.83203125" style="6" customWidth="1"/>
    <col min="7677" max="7677" width="7" style="6" customWidth="1"/>
    <col min="7678" max="7678" width="13.5" style="6" bestFit="1" customWidth="1"/>
    <col min="7679" max="7679" width="52.5" style="6" customWidth="1"/>
    <col min="7680" max="7680" width="4.6640625" style="6" customWidth="1"/>
    <col min="7681" max="7681" width="5.33203125" style="6" customWidth="1"/>
    <col min="7682" max="7682" width="6.5" style="6" customWidth="1"/>
    <col min="7683" max="7683" width="5.5" style="6" customWidth="1"/>
    <col min="7684" max="7684" width="8.5" style="6" customWidth="1"/>
    <col min="7685" max="7685" width="9.5" style="6" customWidth="1"/>
    <col min="7686" max="7686" width="5.5" style="6" customWidth="1"/>
    <col min="7687" max="7687" width="9" style="6" bestFit="1" customWidth="1"/>
    <col min="7688" max="7688" width="5.5" style="6" customWidth="1"/>
    <col min="7689" max="7689" width="9" style="6" bestFit="1" customWidth="1"/>
    <col min="7690" max="7690" width="11.5" style="6" bestFit="1" customWidth="1"/>
    <col min="7691" max="7691" width="9.1640625" style="6"/>
    <col min="7692" max="7694" width="0" style="6" hidden="1" customWidth="1"/>
    <col min="7695" max="7695" width="9.1640625" style="6"/>
    <col min="7696" max="7696" width="49" style="6" customWidth="1"/>
    <col min="7697" max="7929" width="9.1640625" style="6"/>
    <col min="7930" max="7930" width="1.33203125" style="6" customWidth="1"/>
    <col min="7931" max="7931" width="4.33203125" style="6" customWidth="1"/>
    <col min="7932" max="7932" width="25.83203125" style="6" customWidth="1"/>
    <col min="7933" max="7933" width="7" style="6" customWidth="1"/>
    <col min="7934" max="7934" width="13.5" style="6" bestFit="1" customWidth="1"/>
    <col min="7935" max="7935" width="52.5" style="6" customWidth="1"/>
    <col min="7936" max="7936" width="4.6640625" style="6" customWidth="1"/>
    <col min="7937" max="7937" width="5.33203125" style="6" customWidth="1"/>
    <col min="7938" max="7938" width="6.5" style="6" customWidth="1"/>
    <col min="7939" max="7939" width="5.5" style="6" customWidth="1"/>
    <col min="7940" max="7940" width="8.5" style="6" customWidth="1"/>
    <col min="7941" max="7941" width="9.5" style="6" customWidth="1"/>
    <col min="7942" max="7942" width="5.5" style="6" customWidth="1"/>
    <col min="7943" max="7943" width="9" style="6" bestFit="1" customWidth="1"/>
    <col min="7944" max="7944" width="5.5" style="6" customWidth="1"/>
    <col min="7945" max="7945" width="9" style="6" bestFit="1" customWidth="1"/>
    <col min="7946" max="7946" width="11.5" style="6" bestFit="1" customWidth="1"/>
    <col min="7947" max="7947" width="9.1640625" style="6"/>
    <col min="7948" max="7950" width="0" style="6" hidden="1" customWidth="1"/>
    <col min="7951" max="7951" width="9.1640625" style="6"/>
    <col min="7952" max="7952" width="49" style="6" customWidth="1"/>
    <col min="7953" max="8185" width="9.1640625" style="6"/>
    <col min="8186" max="8186" width="1.33203125" style="6" customWidth="1"/>
    <col min="8187" max="8187" width="4.33203125" style="6" customWidth="1"/>
    <col min="8188" max="8188" width="25.83203125" style="6" customWidth="1"/>
    <col min="8189" max="8189" width="7" style="6" customWidth="1"/>
    <col min="8190" max="8190" width="13.5" style="6" bestFit="1" customWidth="1"/>
    <col min="8191" max="8191" width="52.5" style="6" customWidth="1"/>
    <col min="8192" max="8192" width="4.6640625" style="6" customWidth="1"/>
    <col min="8193" max="8193" width="5.33203125" style="6" customWidth="1"/>
    <col min="8194" max="8194" width="6.5" style="6" customWidth="1"/>
    <col min="8195" max="8195" width="5.5" style="6" customWidth="1"/>
    <col min="8196" max="8196" width="8.5" style="6" customWidth="1"/>
    <col min="8197" max="8197" width="9.5" style="6" customWidth="1"/>
    <col min="8198" max="8198" width="5.5" style="6" customWidth="1"/>
    <col min="8199" max="8199" width="9" style="6" bestFit="1" customWidth="1"/>
    <col min="8200" max="8200" width="5.5" style="6" customWidth="1"/>
    <col min="8201" max="8201" width="9" style="6" bestFit="1" customWidth="1"/>
    <col min="8202" max="8202" width="11.5" style="6" bestFit="1" customWidth="1"/>
    <col min="8203" max="8203" width="9.1640625" style="6"/>
    <col min="8204" max="8206" width="0" style="6" hidden="1" customWidth="1"/>
    <col min="8207" max="8207" width="9.1640625" style="6"/>
    <col min="8208" max="8208" width="49" style="6" customWidth="1"/>
    <col min="8209" max="8441" width="9.1640625" style="6"/>
    <col min="8442" max="8442" width="1.33203125" style="6" customWidth="1"/>
    <col min="8443" max="8443" width="4.33203125" style="6" customWidth="1"/>
    <col min="8444" max="8444" width="25.83203125" style="6" customWidth="1"/>
    <col min="8445" max="8445" width="7" style="6" customWidth="1"/>
    <col min="8446" max="8446" width="13.5" style="6" bestFit="1" customWidth="1"/>
    <col min="8447" max="8447" width="52.5" style="6" customWidth="1"/>
    <col min="8448" max="8448" width="4.6640625" style="6" customWidth="1"/>
    <col min="8449" max="8449" width="5.33203125" style="6" customWidth="1"/>
    <col min="8450" max="8450" width="6.5" style="6" customWidth="1"/>
    <col min="8451" max="8451" width="5.5" style="6" customWidth="1"/>
    <col min="8452" max="8452" width="8.5" style="6" customWidth="1"/>
    <col min="8453" max="8453" width="9.5" style="6" customWidth="1"/>
    <col min="8454" max="8454" width="5.5" style="6" customWidth="1"/>
    <col min="8455" max="8455" width="9" style="6" bestFit="1" customWidth="1"/>
    <col min="8456" max="8456" width="5.5" style="6" customWidth="1"/>
    <col min="8457" max="8457" width="9" style="6" bestFit="1" customWidth="1"/>
    <col min="8458" max="8458" width="11.5" style="6" bestFit="1" customWidth="1"/>
    <col min="8459" max="8459" width="9.1640625" style="6"/>
    <col min="8460" max="8462" width="0" style="6" hidden="1" customWidth="1"/>
    <col min="8463" max="8463" width="9.1640625" style="6"/>
    <col min="8464" max="8464" width="49" style="6" customWidth="1"/>
    <col min="8465" max="8697" width="9.1640625" style="6"/>
    <col min="8698" max="8698" width="1.33203125" style="6" customWidth="1"/>
    <col min="8699" max="8699" width="4.33203125" style="6" customWidth="1"/>
    <col min="8700" max="8700" width="25.83203125" style="6" customWidth="1"/>
    <col min="8701" max="8701" width="7" style="6" customWidth="1"/>
    <col min="8702" max="8702" width="13.5" style="6" bestFit="1" customWidth="1"/>
    <col min="8703" max="8703" width="52.5" style="6" customWidth="1"/>
    <col min="8704" max="8704" width="4.6640625" style="6" customWidth="1"/>
    <col min="8705" max="8705" width="5.33203125" style="6" customWidth="1"/>
    <col min="8706" max="8706" width="6.5" style="6" customWidth="1"/>
    <col min="8707" max="8707" width="5.5" style="6" customWidth="1"/>
    <col min="8708" max="8708" width="8.5" style="6" customWidth="1"/>
    <col min="8709" max="8709" width="9.5" style="6" customWidth="1"/>
    <col min="8710" max="8710" width="5.5" style="6" customWidth="1"/>
    <col min="8711" max="8711" width="9" style="6" bestFit="1" customWidth="1"/>
    <col min="8712" max="8712" width="5.5" style="6" customWidth="1"/>
    <col min="8713" max="8713" width="9" style="6" bestFit="1" customWidth="1"/>
    <col min="8714" max="8714" width="11.5" style="6" bestFit="1" customWidth="1"/>
    <col min="8715" max="8715" width="9.1640625" style="6"/>
    <col min="8716" max="8718" width="0" style="6" hidden="1" customWidth="1"/>
    <col min="8719" max="8719" width="9.1640625" style="6"/>
    <col min="8720" max="8720" width="49" style="6" customWidth="1"/>
    <col min="8721" max="8953" width="9.1640625" style="6"/>
    <col min="8954" max="8954" width="1.33203125" style="6" customWidth="1"/>
    <col min="8955" max="8955" width="4.33203125" style="6" customWidth="1"/>
    <col min="8956" max="8956" width="25.83203125" style="6" customWidth="1"/>
    <col min="8957" max="8957" width="7" style="6" customWidth="1"/>
    <col min="8958" max="8958" width="13.5" style="6" bestFit="1" customWidth="1"/>
    <col min="8959" max="8959" width="52.5" style="6" customWidth="1"/>
    <col min="8960" max="8960" width="4.6640625" style="6" customWidth="1"/>
    <col min="8961" max="8961" width="5.33203125" style="6" customWidth="1"/>
    <col min="8962" max="8962" width="6.5" style="6" customWidth="1"/>
    <col min="8963" max="8963" width="5.5" style="6" customWidth="1"/>
    <col min="8964" max="8964" width="8.5" style="6" customWidth="1"/>
    <col min="8965" max="8965" width="9.5" style="6" customWidth="1"/>
    <col min="8966" max="8966" width="5.5" style="6" customWidth="1"/>
    <col min="8967" max="8967" width="9" style="6" bestFit="1" customWidth="1"/>
    <col min="8968" max="8968" width="5.5" style="6" customWidth="1"/>
    <col min="8969" max="8969" width="9" style="6" bestFit="1" customWidth="1"/>
    <col min="8970" max="8970" width="11.5" style="6" bestFit="1" customWidth="1"/>
    <col min="8971" max="8971" width="9.1640625" style="6"/>
    <col min="8972" max="8974" width="0" style="6" hidden="1" customWidth="1"/>
    <col min="8975" max="8975" width="9.1640625" style="6"/>
    <col min="8976" max="8976" width="49" style="6" customWidth="1"/>
    <col min="8977" max="9209" width="9.1640625" style="6"/>
    <col min="9210" max="9210" width="1.33203125" style="6" customWidth="1"/>
    <col min="9211" max="9211" width="4.33203125" style="6" customWidth="1"/>
    <col min="9212" max="9212" width="25.83203125" style="6" customWidth="1"/>
    <col min="9213" max="9213" width="7" style="6" customWidth="1"/>
    <col min="9214" max="9214" width="13.5" style="6" bestFit="1" customWidth="1"/>
    <col min="9215" max="9215" width="52.5" style="6" customWidth="1"/>
    <col min="9216" max="9216" width="4.6640625" style="6" customWidth="1"/>
    <col min="9217" max="9217" width="5.33203125" style="6" customWidth="1"/>
    <col min="9218" max="9218" width="6.5" style="6" customWidth="1"/>
    <col min="9219" max="9219" width="5.5" style="6" customWidth="1"/>
    <col min="9220" max="9220" width="8.5" style="6" customWidth="1"/>
    <col min="9221" max="9221" width="9.5" style="6" customWidth="1"/>
    <col min="9222" max="9222" width="5.5" style="6" customWidth="1"/>
    <col min="9223" max="9223" width="9" style="6" bestFit="1" customWidth="1"/>
    <col min="9224" max="9224" width="5.5" style="6" customWidth="1"/>
    <col min="9225" max="9225" width="9" style="6" bestFit="1" customWidth="1"/>
    <col min="9226" max="9226" width="11.5" style="6" bestFit="1" customWidth="1"/>
    <col min="9227" max="9227" width="9.1640625" style="6"/>
    <col min="9228" max="9230" width="0" style="6" hidden="1" customWidth="1"/>
    <col min="9231" max="9231" width="9.1640625" style="6"/>
    <col min="9232" max="9232" width="49" style="6" customWidth="1"/>
    <col min="9233" max="9465" width="9.1640625" style="6"/>
    <col min="9466" max="9466" width="1.33203125" style="6" customWidth="1"/>
    <col min="9467" max="9467" width="4.33203125" style="6" customWidth="1"/>
    <col min="9468" max="9468" width="25.83203125" style="6" customWidth="1"/>
    <col min="9469" max="9469" width="7" style="6" customWidth="1"/>
    <col min="9470" max="9470" width="13.5" style="6" bestFit="1" customWidth="1"/>
    <col min="9471" max="9471" width="52.5" style="6" customWidth="1"/>
    <col min="9472" max="9472" width="4.6640625" style="6" customWidth="1"/>
    <col min="9473" max="9473" width="5.33203125" style="6" customWidth="1"/>
    <col min="9474" max="9474" width="6.5" style="6" customWidth="1"/>
    <col min="9475" max="9475" width="5.5" style="6" customWidth="1"/>
    <col min="9476" max="9476" width="8.5" style="6" customWidth="1"/>
    <col min="9477" max="9477" width="9.5" style="6" customWidth="1"/>
    <col min="9478" max="9478" width="5.5" style="6" customWidth="1"/>
    <col min="9479" max="9479" width="9" style="6" bestFit="1" customWidth="1"/>
    <col min="9480" max="9480" width="5.5" style="6" customWidth="1"/>
    <col min="9481" max="9481" width="9" style="6" bestFit="1" customWidth="1"/>
    <col min="9482" max="9482" width="11.5" style="6" bestFit="1" customWidth="1"/>
    <col min="9483" max="9483" width="9.1640625" style="6"/>
    <col min="9484" max="9486" width="0" style="6" hidden="1" customWidth="1"/>
    <col min="9487" max="9487" width="9.1640625" style="6"/>
    <col min="9488" max="9488" width="49" style="6" customWidth="1"/>
    <col min="9489" max="9721" width="9.1640625" style="6"/>
    <col min="9722" max="9722" width="1.33203125" style="6" customWidth="1"/>
    <col min="9723" max="9723" width="4.33203125" style="6" customWidth="1"/>
    <col min="9724" max="9724" width="25.83203125" style="6" customWidth="1"/>
    <col min="9725" max="9725" width="7" style="6" customWidth="1"/>
    <col min="9726" max="9726" width="13.5" style="6" bestFit="1" customWidth="1"/>
    <col min="9727" max="9727" width="52.5" style="6" customWidth="1"/>
    <col min="9728" max="9728" width="4.6640625" style="6" customWidth="1"/>
    <col min="9729" max="9729" width="5.33203125" style="6" customWidth="1"/>
    <col min="9730" max="9730" width="6.5" style="6" customWidth="1"/>
    <col min="9731" max="9731" width="5.5" style="6" customWidth="1"/>
    <col min="9732" max="9732" width="8.5" style="6" customWidth="1"/>
    <col min="9733" max="9733" width="9.5" style="6" customWidth="1"/>
    <col min="9734" max="9734" width="5.5" style="6" customWidth="1"/>
    <col min="9735" max="9735" width="9" style="6" bestFit="1" customWidth="1"/>
    <col min="9736" max="9736" width="5.5" style="6" customWidth="1"/>
    <col min="9737" max="9737" width="9" style="6" bestFit="1" customWidth="1"/>
    <col min="9738" max="9738" width="11.5" style="6" bestFit="1" customWidth="1"/>
    <col min="9739" max="9739" width="9.1640625" style="6"/>
    <col min="9740" max="9742" width="0" style="6" hidden="1" customWidth="1"/>
    <col min="9743" max="9743" width="9.1640625" style="6"/>
    <col min="9744" max="9744" width="49" style="6" customWidth="1"/>
    <col min="9745" max="9977" width="9.1640625" style="6"/>
    <col min="9978" max="9978" width="1.33203125" style="6" customWidth="1"/>
    <col min="9979" max="9979" width="4.33203125" style="6" customWidth="1"/>
    <col min="9980" max="9980" width="25.83203125" style="6" customWidth="1"/>
    <col min="9981" max="9981" width="7" style="6" customWidth="1"/>
    <col min="9982" max="9982" width="13.5" style="6" bestFit="1" customWidth="1"/>
    <col min="9983" max="9983" width="52.5" style="6" customWidth="1"/>
    <col min="9984" max="9984" width="4.6640625" style="6" customWidth="1"/>
    <col min="9985" max="9985" width="5.33203125" style="6" customWidth="1"/>
    <col min="9986" max="9986" width="6.5" style="6" customWidth="1"/>
    <col min="9987" max="9987" width="5.5" style="6" customWidth="1"/>
    <col min="9988" max="9988" width="8.5" style="6" customWidth="1"/>
    <col min="9989" max="9989" width="9.5" style="6" customWidth="1"/>
    <col min="9990" max="9990" width="5.5" style="6" customWidth="1"/>
    <col min="9991" max="9991" width="9" style="6" bestFit="1" customWidth="1"/>
    <col min="9992" max="9992" width="5.5" style="6" customWidth="1"/>
    <col min="9993" max="9993" width="9" style="6" bestFit="1" customWidth="1"/>
    <col min="9994" max="9994" width="11.5" style="6" bestFit="1" customWidth="1"/>
    <col min="9995" max="9995" width="9.1640625" style="6"/>
    <col min="9996" max="9998" width="0" style="6" hidden="1" customWidth="1"/>
    <col min="9999" max="9999" width="9.1640625" style="6"/>
    <col min="10000" max="10000" width="49" style="6" customWidth="1"/>
    <col min="10001" max="10233" width="9.1640625" style="6"/>
    <col min="10234" max="10234" width="1.33203125" style="6" customWidth="1"/>
    <col min="10235" max="10235" width="4.33203125" style="6" customWidth="1"/>
    <col min="10236" max="10236" width="25.83203125" style="6" customWidth="1"/>
    <col min="10237" max="10237" width="7" style="6" customWidth="1"/>
    <col min="10238" max="10238" width="13.5" style="6" bestFit="1" customWidth="1"/>
    <col min="10239" max="10239" width="52.5" style="6" customWidth="1"/>
    <col min="10240" max="10240" width="4.6640625" style="6" customWidth="1"/>
    <col min="10241" max="10241" width="5.33203125" style="6" customWidth="1"/>
    <col min="10242" max="10242" width="6.5" style="6" customWidth="1"/>
    <col min="10243" max="10243" width="5.5" style="6" customWidth="1"/>
    <col min="10244" max="10244" width="8.5" style="6" customWidth="1"/>
    <col min="10245" max="10245" width="9.5" style="6" customWidth="1"/>
    <col min="10246" max="10246" width="5.5" style="6" customWidth="1"/>
    <col min="10247" max="10247" width="9" style="6" bestFit="1" customWidth="1"/>
    <col min="10248" max="10248" width="5.5" style="6" customWidth="1"/>
    <col min="10249" max="10249" width="9" style="6" bestFit="1" customWidth="1"/>
    <col min="10250" max="10250" width="11.5" style="6" bestFit="1" customWidth="1"/>
    <col min="10251" max="10251" width="9.1640625" style="6"/>
    <col min="10252" max="10254" width="0" style="6" hidden="1" customWidth="1"/>
    <col min="10255" max="10255" width="9.1640625" style="6"/>
    <col min="10256" max="10256" width="49" style="6" customWidth="1"/>
    <col min="10257" max="10489" width="9.1640625" style="6"/>
    <col min="10490" max="10490" width="1.33203125" style="6" customWidth="1"/>
    <col min="10491" max="10491" width="4.33203125" style="6" customWidth="1"/>
    <col min="10492" max="10492" width="25.83203125" style="6" customWidth="1"/>
    <col min="10493" max="10493" width="7" style="6" customWidth="1"/>
    <col min="10494" max="10494" width="13.5" style="6" bestFit="1" customWidth="1"/>
    <col min="10495" max="10495" width="52.5" style="6" customWidth="1"/>
    <col min="10496" max="10496" width="4.6640625" style="6" customWidth="1"/>
    <col min="10497" max="10497" width="5.33203125" style="6" customWidth="1"/>
    <col min="10498" max="10498" width="6.5" style="6" customWidth="1"/>
    <col min="10499" max="10499" width="5.5" style="6" customWidth="1"/>
    <col min="10500" max="10500" width="8.5" style="6" customWidth="1"/>
    <col min="10501" max="10501" width="9.5" style="6" customWidth="1"/>
    <col min="10502" max="10502" width="5.5" style="6" customWidth="1"/>
    <col min="10503" max="10503" width="9" style="6" bestFit="1" customWidth="1"/>
    <col min="10504" max="10504" width="5.5" style="6" customWidth="1"/>
    <col min="10505" max="10505" width="9" style="6" bestFit="1" customWidth="1"/>
    <col min="10506" max="10506" width="11.5" style="6" bestFit="1" customWidth="1"/>
    <col min="10507" max="10507" width="9.1640625" style="6"/>
    <col min="10508" max="10510" width="0" style="6" hidden="1" customWidth="1"/>
    <col min="10511" max="10511" width="9.1640625" style="6"/>
    <col min="10512" max="10512" width="49" style="6" customWidth="1"/>
    <col min="10513" max="10745" width="9.1640625" style="6"/>
    <col min="10746" max="10746" width="1.33203125" style="6" customWidth="1"/>
    <col min="10747" max="10747" width="4.33203125" style="6" customWidth="1"/>
    <col min="10748" max="10748" width="25.83203125" style="6" customWidth="1"/>
    <col min="10749" max="10749" width="7" style="6" customWidth="1"/>
    <col min="10750" max="10750" width="13.5" style="6" bestFit="1" customWidth="1"/>
    <col min="10751" max="10751" width="52.5" style="6" customWidth="1"/>
    <col min="10752" max="10752" width="4.6640625" style="6" customWidth="1"/>
    <col min="10753" max="10753" width="5.33203125" style="6" customWidth="1"/>
    <col min="10754" max="10754" width="6.5" style="6" customWidth="1"/>
    <col min="10755" max="10755" width="5.5" style="6" customWidth="1"/>
    <col min="10756" max="10756" width="8.5" style="6" customWidth="1"/>
    <col min="10757" max="10757" width="9.5" style="6" customWidth="1"/>
    <col min="10758" max="10758" width="5.5" style="6" customWidth="1"/>
    <col min="10759" max="10759" width="9" style="6" bestFit="1" customWidth="1"/>
    <col min="10760" max="10760" width="5.5" style="6" customWidth="1"/>
    <col min="10761" max="10761" width="9" style="6" bestFit="1" customWidth="1"/>
    <col min="10762" max="10762" width="11.5" style="6" bestFit="1" customWidth="1"/>
    <col min="10763" max="10763" width="9.1640625" style="6"/>
    <col min="10764" max="10766" width="0" style="6" hidden="1" customWidth="1"/>
    <col min="10767" max="10767" width="9.1640625" style="6"/>
    <col min="10768" max="10768" width="49" style="6" customWidth="1"/>
    <col min="10769" max="11001" width="9.1640625" style="6"/>
    <col min="11002" max="11002" width="1.33203125" style="6" customWidth="1"/>
    <col min="11003" max="11003" width="4.33203125" style="6" customWidth="1"/>
    <col min="11004" max="11004" width="25.83203125" style="6" customWidth="1"/>
    <col min="11005" max="11005" width="7" style="6" customWidth="1"/>
    <col min="11006" max="11006" width="13.5" style="6" bestFit="1" customWidth="1"/>
    <col min="11007" max="11007" width="52.5" style="6" customWidth="1"/>
    <col min="11008" max="11008" width="4.6640625" style="6" customWidth="1"/>
    <col min="11009" max="11009" width="5.33203125" style="6" customWidth="1"/>
    <col min="11010" max="11010" width="6.5" style="6" customWidth="1"/>
    <col min="11011" max="11011" width="5.5" style="6" customWidth="1"/>
    <col min="11012" max="11012" width="8.5" style="6" customWidth="1"/>
    <col min="11013" max="11013" width="9.5" style="6" customWidth="1"/>
    <col min="11014" max="11014" width="5.5" style="6" customWidth="1"/>
    <col min="11015" max="11015" width="9" style="6" bestFit="1" customWidth="1"/>
    <col min="11016" max="11016" width="5.5" style="6" customWidth="1"/>
    <col min="11017" max="11017" width="9" style="6" bestFit="1" customWidth="1"/>
    <col min="11018" max="11018" width="11.5" style="6" bestFit="1" customWidth="1"/>
    <col min="11019" max="11019" width="9.1640625" style="6"/>
    <col min="11020" max="11022" width="0" style="6" hidden="1" customWidth="1"/>
    <col min="11023" max="11023" width="9.1640625" style="6"/>
    <col min="11024" max="11024" width="49" style="6" customWidth="1"/>
    <col min="11025" max="11257" width="9.1640625" style="6"/>
    <col min="11258" max="11258" width="1.33203125" style="6" customWidth="1"/>
    <col min="11259" max="11259" width="4.33203125" style="6" customWidth="1"/>
    <col min="11260" max="11260" width="25.83203125" style="6" customWidth="1"/>
    <col min="11261" max="11261" width="7" style="6" customWidth="1"/>
    <col min="11262" max="11262" width="13.5" style="6" bestFit="1" customWidth="1"/>
    <col min="11263" max="11263" width="52.5" style="6" customWidth="1"/>
    <col min="11264" max="11264" width="4.6640625" style="6" customWidth="1"/>
    <col min="11265" max="11265" width="5.33203125" style="6" customWidth="1"/>
    <col min="11266" max="11266" width="6.5" style="6" customWidth="1"/>
    <col min="11267" max="11267" width="5.5" style="6" customWidth="1"/>
    <col min="11268" max="11268" width="8.5" style="6" customWidth="1"/>
    <col min="11269" max="11269" width="9.5" style="6" customWidth="1"/>
    <col min="11270" max="11270" width="5.5" style="6" customWidth="1"/>
    <col min="11271" max="11271" width="9" style="6" bestFit="1" customWidth="1"/>
    <col min="11272" max="11272" width="5.5" style="6" customWidth="1"/>
    <col min="11273" max="11273" width="9" style="6" bestFit="1" customWidth="1"/>
    <col min="11274" max="11274" width="11.5" style="6" bestFit="1" customWidth="1"/>
    <col min="11275" max="11275" width="9.1640625" style="6"/>
    <col min="11276" max="11278" width="0" style="6" hidden="1" customWidth="1"/>
    <col min="11279" max="11279" width="9.1640625" style="6"/>
    <col min="11280" max="11280" width="49" style="6" customWidth="1"/>
    <col min="11281" max="11513" width="9.1640625" style="6"/>
    <col min="11514" max="11514" width="1.33203125" style="6" customWidth="1"/>
    <col min="11515" max="11515" width="4.33203125" style="6" customWidth="1"/>
    <col min="11516" max="11516" width="25.83203125" style="6" customWidth="1"/>
    <col min="11517" max="11517" width="7" style="6" customWidth="1"/>
    <col min="11518" max="11518" width="13.5" style="6" bestFit="1" customWidth="1"/>
    <col min="11519" max="11519" width="52.5" style="6" customWidth="1"/>
    <col min="11520" max="11520" width="4.6640625" style="6" customWidth="1"/>
    <col min="11521" max="11521" width="5.33203125" style="6" customWidth="1"/>
    <col min="11522" max="11522" width="6.5" style="6" customWidth="1"/>
    <col min="11523" max="11523" width="5.5" style="6" customWidth="1"/>
    <col min="11524" max="11524" width="8.5" style="6" customWidth="1"/>
    <col min="11525" max="11525" width="9.5" style="6" customWidth="1"/>
    <col min="11526" max="11526" width="5.5" style="6" customWidth="1"/>
    <col min="11527" max="11527" width="9" style="6" bestFit="1" customWidth="1"/>
    <col min="11528" max="11528" width="5.5" style="6" customWidth="1"/>
    <col min="11529" max="11529" width="9" style="6" bestFit="1" customWidth="1"/>
    <col min="11530" max="11530" width="11.5" style="6" bestFit="1" customWidth="1"/>
    <col min="11531" max="11531" width="9.1640625" style="6"/>
    <col min="11532" max="11534" width="0" style="6" hidden="1" customWidth="1"/>
    <col min="11535" max="11535" width="9.1640625" style="6"/>
    <col min="11536" max="11536" width="49" style="6" customWidth="1"/>
    <col min="11537" max="11769" width="9.1640625" style="6"/>
    <col min="11770" max="11770" width="1.33203125" style="6" customWidth="1"/>
    <col min="11771" max="11771" width="4.33203125" style="6" customWidth="1"/>
    <col min="11772" max="11772" width="25.83203125" style="6" customWidth="1"/>
    <col min="11773" max="11773" width="7" style="6" customWidth="1"/>
    <col min="11774" max="11774" width="13.5" style="6" bestFit="1" customWidth="1"/>
    <col min="11775" max="11775" width="52.5" style="6" customWidth="1"/>
    <col min="11776" max="11776" width="4.6640625" style="6" customWidth="1"/>
    <col min="11777" max="11777" width="5.33203125" style="6" customWidth="1"/>
    <col min="11778" max="11778" width="6.5" style="6" customWidth="1"/>
    <col min="11779" max="11779" width="5.5" style="6" customWidth="1"/>
    <col min="11780" max="11780" width="8.5" style="6" customWidth="1"/>
    <col min="11781" max="11781" width="9.5" style="6" customWidth="1"/>
    <col min="11782" max="11782" width="5.5" style="6" customWidth="1"/>
    <col min="11783" max="11783" width="9" style="6" bestFit="1" customWidth="1"/>
    <col min="11784" max="11784" width="5.5" style="6" customWidth="1"/>
    <col min="11785" max="11785" width="9" style="6" bestFit="1" customWidth="1"/>
    <col min="11786" max="11786" width="11.5" style="6" bestFit="1" customWidth="1"/>
    <col min="11787" max="11787" width="9.1640625" style="6"/>
    <col min="11788" max="11790" width="0" style="6" hidden="1" customWidth="1"/>
    <col min="11791" max="11791" width="9.1640625" style="6"/>
    <col min="11792" max="11792" width="49" style="6" customWidth="1"/>
    <col min="11793" max="12025" width="9.1640625" style="6"/>
    <col min="12026" max="12026" width="1.33203125" style="6" customWidth="1"/>
    <col min="12027" max="12027" width="4.33203125" style="6" customWidth="1"/>
    <col min="12028" max="12028" width="25.83203125" style="6" customWidth="1"/>
    <col min="12029" max="12029" width="7" style="6" customWidth="1"/>
    <col min="12030" max="12030" width="13.5" style="6" bestFit="1" customWidth="1"/>
    <col min="12031" max="12031" width="52.5" style="6" customWidth="1"/>
    <col min="12032" max="12032" width="4.6640625" style="6" customWidth="1"/>
    <col min="12033" max="12033" width="5.33203125" style="6" customWidth="1"/>
    <col min="12034" max="12034" width="6.5" style="6" customWidth="1"/>
    <col min="12035" max="12035" width="5.5" style="6" customWidth="1"/>
    <col min="12036" max="12036" width="8.5" style="6" customWidth="1"/>
    <col min="12037" max="12037" width="9.5" style="6" customWidth="1"/>
    <col min="12038" max="12038" width="5.5" style="6" customWidth="1"/>
    <col min="12039" max="12039" width="9" style="6" bestFit="1" customWidth="1"/>
    <col min="12040" max="12040" width="5.5" style="6" customWidth="1"/>
    <col min="12041" max="12041" width="9" style="6" bestFit="1" customWidth="1"/>
    <col min="12042" max="12042" width="11.5" style="6" bestFit="1" customWidth="1"/>
    <col min="12043" max="12043" width="9.1640625" style="6"/>
    <col min="12044" max="12046" width="0" style="6" hidden="1" customWidth="1"/>
    <col min="12047" max="12047" width="9.1640625" style="6"/>
    <col min="12048" max="12048" width="49" style="6" customWidth="1"/>
    <col min="12049" max="12281" width="9.1640625" style="6"/>
    <col min="12282" max="12282" width="1.33203125" style="6" customWidth="1"/>
    <col min="12283" max="12283" width="4.33203125" style="6" customWidth="1"/>
    <col min="12284" max="12284" width="25.83203125" style="6" customWidth="1"/>
    <col min="12285" max="12285" width="7" style="6" customWidth="1"/>
    <col min="12286" max="12286" width="13.5" style="6" bestFit="1" customWidth="1"/>
    <col min="12287" max="12287" width="52.5" style="6" customWidth="1"/>
    <col min="12288" max="12288" width="4.6640625" style="6" customWidth="1"/>
    <col min="12289" max="12289" width="5.33203125" style="6" customWidth="1"/>
    <col min="12290" max="12290" width="6.5" style="6" customWidth="1"/>
    <col min="12291" max="12291" width="5.5" style="6" customWidth="1"/>
    <col min="12292" max="12292" width="8.5" style="6" customWidth="1"/>
    <col min="12293" max="12293" width="9.5" style="6" customWidth="1"/>
    <col min="12294" max="12294" width="5.5" style="6" customWidth="1"/>
    <col min="12295" max="12295" width="9" style="6" bestFit="1" customWidth="1"/>
    <col min="12296" max="12296" width="5.5" style="6" customWidth="1"/>
    <col min="12297" max="12297" width="9" style="6" bestFit="1" customWidth="1"/>
    <col min="12298" max="12298" width="11.5" style="6" bestFit="1" customWidth="1"/>
    <col min="12299" max="12299" width="9.1640625" style="6"/>
    <col min="12300" max="12302" width="0" style="6" hidden="1" customWidth="1"/>
    <col min="12303" max="12303" width="9.1640625" style="6"/>
    <col min="12304" max="12304" width="49" style="6" customWidth="1"/>
    <col min="12305" max="12537" width="9.1640625" style="6"/>
    <col min="12538" max="12538" width="1.33203125" style="6" customWidth="1"/>
    <col min="12539" max="12539" width="4.33203125" style="6" customWidth="1"/>
    <col min="12540" max="12540" width="25.83203125" style="6" customWidth="1"/>
    <col min="12541" max="12541" width="7" style="6" customWidth="1"/>
    <col min="12542" max="12542" width="13.5" style="6" bestFit="1" customWidth="1"/>
    <col min="12543" max="12543" width="52.5" style="6" customWidth="1"/>
    <col min="12544" max="12544" width="4.6640625" style="6" customWidth="1"/>
    <col min="12545" max="12545" width="5.33203125" style="6" customWidth="1"/>
    <col min="12546" max="12546" width="6.5" style="6" customWidth="1"/>
    <col min="12547" max="12547" width="5.5" style="6" customWidth="1"/>
    <col min="12548" max="12548" width="8.5" style="6" customWidth="1"/>
    <col min="12549" max="12549" width="9.5" style="6" customWidth="1"/>
    <col min="12550" max="12550" width="5.5" style="6" customWidth="1"/>
    <col min="12551" max="12551" width="9" style="6" bestFit="1" customWidth="1"/>
    <col min="12552" max="12552" width="5.5" style="6" customWidth="1"/>
    <col min="12553" max="12553" width="9" style="6" bestFit="1" customWidth="1"/>
    <col min="12554" max="12554" width="11.5" style="6" bestFit="1" customWidth="1"/>
    <col min="12555" max="12555" width="9.1640625" style="6"/>
    <col min="12556" max="12558" width="0" style="6" hidden="1" customWidth="1"/>
    <col min="12559" max="12559" width="9.1640625" style="6"/>
    <col min="12560" max="12560" width="49" style="6" customWidth="1"/>
    <col min="12561" max="12793" width="9.1640625" style="6"/>
    <col min="12794" max="12794" width="1.33203125" style="6" customWidth="1"/>
    <col min="12795" max="12795" width="4.33203125" style="6" customWidth="1"/>
    <col min="12796" max="12796" width="25.83203125" style="6" customWidth="1"/>
    <col min="12797" max="12797" width="7" style="6" customWidth="1"/>
    <col min="12798" max="12798" width="13.5" style="6" bestFit="1" customWidth="1"/>
    <col min="12799" max="12799" width="52.5" style="6" customWidth="1"/>
    <col min="12800" max="12800" width="4.6640625" style="6" customWidth="1"/>
    <col min="12801" max="12801" width="5.33203125" style="6" customWidth="1"/>
    <col min="12802" max="12802" width="6.5" style="6" customWidth="1"/>
    <col min="12803" max="12803" width="5.5" style="6" customWidth="1"/>
    <col min="12804" max="12804" width="8.5" style="6" customWidth="1"/>
    <col min="12805" max="12805" width="9.5" style="6" customWidth="1"/>
    <col min="12806" max="12806" width="5.5" style="6" customWidth="1"/>
    <col min="12807" max="12807" width="9" style="6" bestFit="1" customWidth="1"/>
    <col min="12808" max="12808" width="5.5" style="6" customWidth="1"/>
    <col min="12809" max="12809" width="9" style="6" bestFit="1" customWidth="1"/>
    <col min="12810" max="12810" width="11.5" style="6" bestFit="1" customWidth="1"/>
    <col min="12811" max="12811" width="9.1640625" style="6"/>
    <col min="12812" max="12814" width="0" style="6" hidden="1" customWidth="1"/>
    <col min="12815" max="12815" width="9.1640625" style="6"/>
    <col min="12816" max="12816" width="49" style="6" customWidth="1"/>
    <col min="12817" max="13049" width="9.1640625" style="6"/>
    <col min="13050" max="13050" width="1.33203125" style="6" customWidth="1"/>
    <col min="13051" max="13051" width="4.33203125" style="6" customWidth="1"/>
    <col min="13052" max="13052" width="25.83203125" style="6" customWidth="1"/>
    <col min="13053" max="13053" width="7" style="6" customWidth="1"/>
    <col min="13054" max="13054" width="13.5" style="6" bestFit="1" customWidth="1"/>
    <col min="13055" max="13055" width="52.5" style="6" customWidth="1"/>
    <col min="13056" max="13056" width="4.6640625" style="6" customWidth="1"/>
    <col min="13057" max="13057" width="5.33203125" style="6" customWidth="1"/>
    <col min="13058" max="13058" width="6.5" style="6" customWidth="1"/>
    <col min="13059" max="13059" width="5.5" style="6" customWidth="1"/>
    <col min="13060" max="13060" width="8.5" style="6" customWidth="1"/>
    <col min="13061" max="13061" width="9.5" style="6" customWidth="1"/>
    <col min="13062" max="13062" width="5.5" style="6" customWidth="1"/>
    <col min="13063" max="13063" width="9" style="6" bestFit="1" customWidth="1"/>
    <col min="13064" max="13064" width="5.5" style="6" customWidth="1"/>
    <col min="13065" max="13065" width="9" style="6" bestFit="1" customWidth="1"/>
    <col min="13066" max="13066" width="11.5" style="6" bestFit="1" customWidth="1"/>
    <col min="13067" max="13067" width="9.1640625" style="6"/>
    <col min="13068" max="13070" width="0" style="6" hidden="1" customWidth="1"/>
    <col min="13071" max="13071" width="9.1640625" style="6"/>
    <col min="13072" max="13072" width="49" style="6" customWidth="1"/>
    <col min="13073" max="13305" width="9.1640625" style="6"/>
    <col min="13306" max="13306" width="1.33203125" style="6" customWidth="1"/>
    <col min="13307" max="13307" width="4.33203125" style="6" customWidth="1"/>
    <col min="13308" max="13308" width="25.83203125" style="6" customWidth="1"/>
    <col min="13309" max="13309" width="7" style="6" customWidth="1"/>
    <col min="13310" max="13310" width="13.5" style="6" bestFit="1" customWidth="1"/>
    <col min="13311" max="13311" width="52.5" style="6" customWidth="1"/>
    <col min="13312" max="13312" width="4.6640625" style="6" customWidth="1"/>
    <col min="13313" max="13313" width="5.33203125" style="6" customWidth="1"/>
    <col min="13314" max="13314" width="6.5" style="6" customWidth="1"/>
    <col min="13315" max="13315" width="5.5" style="6" customWidth="1"/>
    <col min="13316" max="13316" width="8.5" style="6" customWidth="1"/>
    <col min="13317" max="13317" width="9.5" style="6" customWidth="1"/>
    <col min="13318" max="13318" width="5.5" style="6" customWidth="1"/>
    <col min="13319" max="13319" width="9" style="6" bestFit="1" customWidth="1"/>
    <col min="13320" max="13320" width="5.5" style="6" customWidth="1"/>
    <col min="13321" max="13321" width="9" style="6" bestFit="1" customWidth="1"/>
    <col min="13322" max="13322" width="11.5" style="6" bestFit="1" customWidth="1"/>
    <col min="13323" max="13323" width="9.1640625" style="6"/>
    <col min="13324" max="13326" width="0" style="6" hidden="1" customWidth="1"/>
    <col min="13327" max="13327" width="9.1640625" style="6"/>
    <col min="13328" max="13328" width="49" style="6" customWidth="1"/>
    <col min="13329" max="13561" width="9.1640625" style="6"/>
    <col min="13562" max="13562" width="1.33203125" style="6" customWidth="1"/>
    <col min="13563" max="13563" width="4.33203125" style="6" customWidth="1"/>
    <col min="13564" max="13564" width="25.83203125" style="6" customWidth="1"/>
    <col min="13565" max="13565" width="7" style="6" customWidth="1"/>
    <col min="13566" max="13566" width="13.5" style="6" bestFit="1" customWidth="1"/>
    <col min="13567" max="13567" width="52.5" style="6" customWidth="1"/>
    <col min="13568" max="13568" width="4.6640625" style="6" customWidth="1"/>
    <col min="13569" max="13569" width="5.33203125" style="6" customWidth="1"/>
    <col min="13570" max="13570" width="6.5" style="6" customWidth="1"/>
    <col min="13571" max="13571" width="5.5" style="6" customWidth="1"/>
    <col min="13572" max="13572" width="8.5" style="6" customWidth="1"/>
    <col min="13573" max="13573" width="9.5" style="6" customWidth="1"/>
    <col min="13574" max="13574" width="5.5" style="6" customWidth="1"/>
    <col min="13575" max="13575" width="9" style="6" bestFit="1" customWidth="1"/>
    <col min="13576" max="13576" width="5.5" style="6" customWidth="1"/>
    <col min="13577" max="13577" width="9" style="6" bestFit="1" customWidth="1"/>
    <col min="13578" max="13578" width="11.5" style="6" bestFit="1" customWidth="1"/>
    <col min="13579" max="13579" width="9.1640625" style="6"/>
    <col min="13580" max="13582" width="0" style="6" hidden="1" customWidth="1"/>
    <col min="13583" max="13583" width="9.1640625" style="6"/>
    <col min="13584" max="13584" width="49" style="6" customWidth="1"/>
    <col min="13585" max="13817" width="9.1640625" style="6"/>
    <col min="13818" max="13818" width="1.33203125" style="6" customWidth="1"/>
    <col min="13819" max="13819" width="4.33203125" style="6" customWidth="1"/>
    <col min="13820" max="13820" width="25.83203125" style="6" customWidth="1"/>
    <col min="13821" max="13821" width="7" style="6" customWidth="1"/>
    <col min="13822" max="13822" width="13.5" style="6" bestFit="1" customWidth="1"/>
    <col min="13823" max="13823" width="52.5" style="6" customWidth="1"/>
    <col min="13824" max="13824" width="4.6640625" style="6" customWidth="1"/>
    <col min="13825" max="13825" width="5.33203125" style="6" customWidth="1"/>
    <col min="13826" max="13826" width="6.5" style="6" customWidth="1"/>
    <col min="13827" max="13827" width="5.5" style="6" customWidth="1"/>
    <col min="13828" max="13828" width="8.5" style="6" customWidth="1"/>
    <col min="13829" max="13829" width="9.5" style="6" customWidth="1"/>
    <col min="13830" max="13830" width="5.5" style="6" customWidth="1"/>
    <col min="13831" max="13831" width="9" style="6" bestFit="1" customWidth="1"/>
    <col min="13832" max="13832" width="5.5" style="6" customWidth="1"/>
    <col min="13833" max="13833" width="9" style="6" bestFit="1" customWidth="1"/>
    <col min="13834" max="13834" width="11.5" style="6" bestFit="1" customWidth="1"/>
    <col min="13835" max="13835" width="9.1640625" style="6"/>
    <col min="13836" max="13838" width="0" style="6" hidden="1" customWidth="1"/>
    <col min="13839" max="13839" width="9.1640625" style="6"/>
    <col min="13840" max="13840" width="49" style="6" customWidth="1"/>
    <col min="13841" max="14073" width="9.1640625" style="6"/>
    <col min="14074" max="14074" width="1.33203125" style="6" customWidth="1"/>
    <col min="14075" max="14075" width="4.33203125" style="6" customWidth="1"/>
    <col min="14076" max="14076" width="25.83203125" style="6" customWidth="1"/>
    <col min="14077" max="14077" width="7" style="6" customWidth="1"/>
    <col min="14078" max="14078" width="13.5" style="6" bestFit="1" customWidth="1"/>
    <col min="14079" max="14079" width="52.5" style="6" customWidth="1"/>
    <col min="14080" max="14080" width="4.6640625" style="6" customWidth="1"/>
    <col min="14081" max="14081" width="5.33203125" style="6" customWidth="1"/>
    <col min="14082" max="14082" width="6.5" style="6" customWidth="1"/>
    <col min="14083" max="14083" width="5.5" style="6" customWidth="1"/>
    <col min="14084" max="14084" width="8.5" style="6" customWidth="1"/>
    <col min="14085" max="14085" width="9.5" style="6" customWidth="1"/>
    <col min="14086" max="14086" width="5.5" style="6" customWidth="1"/>
    <col min="14087" max="14087" width="9" style="6" bestFit="1" customWidth="1"/>
    <col min="14088" max="14088" width="5.5" style="6" customWidth="1"/>
    <col min="14089" max="14089" width="9" style="6" bestFit="1" customWidth="1"/>
    <col min="14090" max="14090" width="11.5" style="6" bestFit="1" customWidth="1"/>
    <col min="14091" max="14091" width="9.1640625" style="6"/>
    <col min="14092" max="14094" width="0" style="6" hidden="1" customWidth="1"/>
    <col min="14095" max="14095" width="9.1640625" style="6"/>
    <col min="14096" max="14096" width="49" style="6" customWidth="1"/>
    <col min="14097" max="14329" width="9.1640625" style="6"/>
    <col min="14330" max="14330" width="1.33203125" style="6" customWidth="1"/>
    <col min="14331" max="14331" width="4.33203125" style="6" customWidth="1"/>
    <col min="14332" max="14332" width="25.83203125" style="6" customWidth="1"/>
    <col min="14333" max="14333" width="7" style="6" customWidth="1"/>
    <col min="14334" max="14334" width="13.5" style="6" bestFit="1" customWidth="1"/>
    <col min="14335" max="14335" width="52.5" style="6" customWidth="1"/>
    <col min="14336" max="14336" width="4.6640625" style="6" customWidth="1"/>
    <col min="14337" max="14337" width="5.33203125" style="6" customWidth="1"/>
    <col min="14338" max="14338" width="6.5" style="6" customWidth="1"/>
    <col min="14339" max="14339" width="5.5" style="6" customWidth="1"/>
    <col min="14340" max="14340" width="8.5" style="6" customWidth="1"/>
    <col min="14341" max="14341" width="9.5" style="6" customWidth="1"/>
    <col min="14342" max="14342" width="5.5" style="6" customWidth="1"/>
    <col min="14343" max="14343" width="9" style="6" bestFit="1" customWidth="1"/>
    <col min="14344" max="14344" width="5.5" style="6" customWidth="1"/>
    <col min="14345" max="14345" width="9" style="6" bestFit="1" customWidth="1"/>
    <col min="14346" max="14346" width="11.5" style="6" bestFit="1" customWidth="1"/>
    <col min="14347" max="14347" width="9.1640625" style="6"/>
    <col min="14348" max="14350" width="0" style="6" hidden="1" customWidth="1"/>
    <col min="14351" max="14351" width="9.1640625" style="6"/>
    <col min="14352" max="14352" width="49" style="6" customWidth="1"/>
    <col min="14353" max="14585" width="9.1640625" style="6"/>
    <col min="14586" max="14586" width="1.33203125" style="6" customWidth="1"/>
    <col min="14587" max="14587" width="4.33203125" style="6" customWidth="1"/>
    <col min="14588" max="14588" width="25.83203125" style="6" customWidth="1"/>
    <col min="14589" max="14589" width="7" style="6" customWidth="1"/>
    <col min="14590" max="14590" width="13.5" style="6" bestFit="1" customWidth="1"/>
    <col min="14591" max="14591" width="52.5" style="6" customWidth="1"/>
    <col min="14592" max="14592" width="4.6640625" style="6" customWidth="1"/>
    <col min="14593" max="14593" width="5.33203125" style="6" customWidth="1"/>
    <col min="14594" max="14594" width="6.5" style="6" customWidth="1"/>
    <col min="14595" max="14595" width="5.5" style="6" customWidth="1"/>
    <col min="14596" max="14596" width="8.5" style="6" customWidth="1"/>
    <col min="14597" max="14597" width="9.5" style="6" customWidth="1"/>
    <col min="14598" max="14598" width="5.5" style="6" customWidth="1"/>
    <col min="14599" max="14599" width="9" style="6" bestFit="1" customWidth="1"/>
    <col min="14600" max="14600" width="5.5" style="6" customWidth="1"/>
    <col min="14601" max="14601" width="9" style="6" bestFit="1" customWidth="1"/>
    <col min="14602" max="14602" width="11.5" style="6" bestFit="1" customWidth="1"/>
    <col min="14603" max="14603" width="9.1640625" style="6"/>
    <col min="14604" max="14606" width="0" style="6" hidden="1" customWidth="1"/>
    <col min="14607" max="14607" width="9.1640625" style="6"/>
    <col min="14608" max="14608" width="49" style="6" customWidth="1"/>
    <col min="14609" max="14841" width="9.1640625" style="6"/>
    <col min="14842" max="14842" width="1.33203125" style="6" customWidth="1"/>
    <col min="14843" max="14843" width="4.33203125" style="6" customWidth="1"/>
    <col min="14844" max="14844" width="25.83203125" style="6" customWidth="1"/>
    <col min="14845" max="14845" width="7" style="6" customWidth="1"/>
    <col min="14846" max="14846" width="13.5" style="6" bestFit="1" customWidth="1"/>
    <col min="14847" max="14847" width="52.5" style="6" customWidth="1"/>
    <col min="14848" max="14848" width="4.6640625" style="6" customWidth="1"/>
    <col min="14849" max="14849" width="5.33203125" style="6" customWidth="1"/>
    <col min="14850" max="14850" width="6.5" style="6" customWidth="1"/>
    <col min="14851" max="14851" width="5.5" style="6" customWidth="1"/>
    <col min="14852" max="14852" width="8.5" style="6" customWidth="1"/>
    <col min="14853" max="14853" width="9.5" style="6" customWidth="1"/>
    <col min="14854" max="14854" width="5.5" style="6" customWidth="1"/>
    <col min="14855" max="14855" width="9" style="6" bestFit="1" customWidth="1"/>
    <col min="14856" max="14856" width="5.5" style="6" customWidth="1"/>
    <col min="14857" max="14857" width="9" style="6" bestFit="1" customWidth="1"/>
    <col min="14858" max="14858" width="11.5" style="6" bestFit="1" customWidth="1"/>
    <col min="14859" max="14859" width="9.1640625" style="6"/>
    <col min="14860" max="14862" width="0" style="6" hidden="1" customWidth="1"/>
    <col min="14863" max="14863" width="9.1640625" style="6"/>
    <col min="14864" max="14864" width="49" style="6" customWidth="1"/>
    <col min="14865" max="15097" width="9.1640625" style="6"/>
    <col min="15098" max="15098" width="1.33203125" style="6" customWidth="1"/>
    <col min="15099" max="15099" width="4.33203125" style="6" customWidth="1"/>
    <col min="15100" max="15100" width="25.83203125" style="6" customWidth="1"/>
    <col min="15101" max="15101" width="7" style="6" customWidth="1"/>
    <col min="15102" max="15102" width="13.5" style="6" bestFit="1" customWidth="1"/>
    <col min="15103" max="15103" width="52.5" style="6" customWidth="1"/>
    <col min="15104" max="15104" width="4.6640625" style="6" customWidth="1"/>
    <col min="15105" max="15105" width="5.33203125" style="6" customWidth="1"/>
    <col min="15106" max="15106" width="6.5" style="6" customWidth="1"/>
    <col min="15107" max="15107" width="5.5" style="6" customWidth="1"/>
    <col min="15108" max="15108" width="8.5" style="6" customWidth="1"/>
    <col min="15109" max="15109" width="9.5" style="6" customWidth="1"/>
    <col min="15110" max="15110" width="5.5" style="6" customWidth="1"/>
    <col min="15111" max="15111" width="9" style="6" bestFit="1" customWidth="1"/>
    <col min="15112" max="15112" width="5.5" style="6" customWidth="1"/>
    <col min="15113" max="15113" width="9" style="6" bestFit="1" customWidth="1"/>
    <col min="15114" max="15114" width="11.5" style="6" bestFit="1" customWidth="1"/>
    <col min="15115" max="15115" width="9.1640625" style="6"/>
    <col min="15116" max="15118" width="0" style="6" hidden="1" customWidth="1"/>
    <col min="15119" max="15119" width="9.1640625" style="6"/>
    <col min="15120" max="15120" width="49" style="6" customWidth="1"/>
    <col min="15121" max="15353" width="9.1640625" style="6"/>
    <col min="15354" max="15354" width="1.33203125" style="6" customWidth="1"/>
    <col min="15355" max="15355" width="4.33203125" style="6" customWidth="1"/>
    <col min="15356" max="15356" width="25.83203125" style="6" customWidth="1"/>
    <col min="15357" max="15357" width="7" style="6" customWidth="1"/>
    <col min="15358" max="15358" width="13.5" style="6" bestFit="1" customWidth="1"/>
    <col min="15359" max="15359" width="52.5" style="6" customWidth="1"/>
    <col min="15360" max="15360" width="4.6640625" style="6" customWidth="1"/>
    <col min="15361" max="15361" width="5.33203125" style="6" customWidth="1"/>
    <col min="15362" max="15362" width="6.5" style="6" customWidth="1"/>
    <col min="15363" max="15363" width="5.5" style="6" customWidth="1"/>
    <col min="15364" max="15364" width="8.5" style="6" customWidth="1"/>
    <col min="15365" max="15365" width="9.5" style="6" customWidth="1"/>
    <col min="15366" max="15366" width="5.5" style="6" customWidth="1"/>
    <col min="15367" max="15367" width="9" style="6" bestFit="1" customWidth="1"/>
    <col min="15368" max="15368" width="5.5" style="6" customWidth="1"/>
    <col min="15369" max="15369" width="9" style="6" bestFit="1" customWidth="1"/>
    <col min="15370" max="15370" width="11.5" style="6" bestFit="1" customWidth="1"/>
    <col min="15371" max="15371" width="9.1640625" style="6"/>
    <col min="15372" max="15374" width="0" style="6" hidden="1" customWidth="1"/>
    <col min="15375" max="15375" width="9.1640625" style="6"/>
    <col min="15376" max="15376" width="49" style="6" customWidth="1"/>
    <col min="15377" max="15609" width="9.1640625" style="6"/>
    <col min="15610" max="15610" width="1.33203125" style="6" customWidth="1"/>
    <col min="15611" max="15611" width="4.33203125" style="6" customWidth="1"/>
    <col min="15612" max="15612" width="25.83203125" style="6" customWidth="1"/>
    <col min="15613" max="15613" width="7" style="6" customWidth="1"/>
    <col min="15614" max="15614" width="13.5" style="6" bestFit="1" customWidth="1"/>
    <col min="15615" max="15615" width="52.5" style="6" customWidth="1"/>
    <col min="15616" max="15616" width="4.6640625" style="6" customWidth="1"/>
    <col min="15617" max="15617" width="5.33203125" style="6" customWidth="1"/>
    <col min="15618" max="15618" width="6.5" style="6" customWidth="1"/>
    <col min="15619" max="15619" width="5.5" style="6" customWidth="1"/>
    <col min="15620" max="15620" width="8.5" style="6" customWidth="1"/>
    <col min="15621" max="15621" width="9.5" style="6" customWidth="1"/>
    <col min="15622" max="15622" width="5.5" style="6" customWidth="1"/>
    <col min="15623" max="15623" width="9" style="6" bestFit="1" customWidth="1"/>
    <col min="15624" max="15624" width="5.5" style="6" customWidth="1"/>
    <col min="15625" max="15625" width="9" style="6" bestFit="1" customWidth="1"/>
    <col min="15626" max="15626" width="11.5" style="6" bestFit="1" customWidth="1"/>
    <col min="15627" max="15627" width="9.1640625" style="6"/>
    <col min="15628" max="15630" width="0" style="6" hidden="1" customWidth="1"/>
    <col min="15631" max="15631" width="9.1640625" style="6"/>
    <col min="15632" max="15632" width="49" style="6" customWidth="1"/>
    <col min="15633" max="15865" width="9.1640625" style="6"/>
    <col min="15866" max="15866" width="1.33203125" style="6" customWidth="1"/>
    <col min="15867" max="15867" width="4.33203125" style="6" customWidth="1"/>
    <col min="15868" max="15868" width="25.83203125" style="6" customWidth="1"/>
    <col min="15869" max="15869" width="7" style="6" customWidth="1"/>
    <col min="15870" max="15870" width="13.5" style="6" bestFit="1" customWidth="1"/>
    <col min="15871" max="15871" width="52.5" style="6" customWidth="1"/>
    <col min="15872" max="15872" width="4.6640625" style="6" customWidth="1"/>
    <col min="15873" max="15873" width="5.33203125" style="6" customWidth="1"/>
    <col min="15874" max="15874" width="6.5" style="6" customWidth="1"/>
    <col min="15875" max="15875" width="5.5" style="6" customWidth="1"/>
    <col min="15876" max="15876" width="8.5" style="6" customWidth="1"/>
    <col min="15877" max="15877" width="9.5" style="6" customWidth="1"/>
    <col min="15878" max="15878" width="5.5" style="6" customWidth="1"/>
    <col min="15879" max="15879" width="9" style="6" bestFit="1" customWidth="1"/>
    <col min="15880" max="15880" width="5.5" style="6" customWidth="1"/>
    <col min="15881" max="15881" width="9" style="6" bestFit="1" customWidth="1"/>
    <col min="15882" max="15882" width="11.5" style="6" bestFit="1" customWidth="1"/>
    <col min="15883" max="15883" width="9.1640625" style="6"/>
    <col min="15884" max="15886" width="0" style="6" hidden="1" customWidth="1"/>
    <col min="15887" max="15887" width="9.1640625" style="6"/>
    <col min="15888" max="15888" width="49" style="6" customWidth="1"/>
    <col min="15889" max="16121" width="9.1640625" style="6"/>
    <col min="16122" max="16122" width="1.33203125" style="6" customWidth="1"/>
    <col min="16123" max="16123" width="4.33203125" style="6" customWidth="1"/>
    <col min="16124" max="16124" width="25.83203125" style="6" customWidth="1"/>
    <col min="16125" max="16125" width="7" style="6" customWidth="1"/>
    <col min="16126" max="16126" width="13.5" style="6" bestFit="1" customWidth="1"/>
    <col min="16127" max="16127" width="52.5" style="6" customWidth="1"/>
    <col min="16128" max="16128" width="4.6640625" style="6" customWidth="1"/>
    <col min="16129" max="16129" width="5.33203125" style="6" customWidth="1"/>
    <col min="16130" max="16130" width="6.5" style="6" customWidth="1"/>
    <col min="16131" max="16131" width="5.5" style="6" customWidth="1"/>
    <col min="16132" max="16132" width="8.5" style="6" customWidth="1"/>
    <col min="16133" max="16133" width="9.5" style="6" customWidth="1"/>
    <col min="16134" max="16134" width="5.5" style="6" customWidth="1"/>
    <col min="16135" max="16135" width="9" style="6" bestFit="1" customWidth="1"/>
    <col min="16136" max="16136" width="5.5" style="6" customWidth="1"/>
    <col min="16137" max="16137" width="9" style="6" bestFit="1" customWidth="1"/>
    <col min="16138" max="16138" width="11.5" style="6" bestFit="1" customWidth="1"/>
    <col min="16139" max="16139" width="9.1640625" style="6"/>
    <col min="16140" max="16142" width="0" style="6" hidden="1" customWidth="1"/>
    <col min="16143" max="16143" width="9.1640625" style="6"/>
    <col min="16144" max="16144" width="49" style="6" customWidth="1"/>
    <col min="16145" max="16377" width="9.1640625" style="6"/>
    <col min="16378" max="16384" width="9.1640625" style="6" customWidth="1"/>
  </cols>
  <sheetData>
    <row r="2" spans="2:17" ht="14.25" customHeight="1" x14ac:dyDescent="0.15">
      <c r="B2" s="1"/>
      <c r="C2" s="2"/>
      <c r="D2" s="3"/>
      <c r="E2" s="3"/>
      <c r="F2" s="2"/>
      <c r="G2" s="4"/>
      <c r="H2" s="4"/>
      <c r="I2" s="5"/>
      <c r="J2" s="4"/>
      <c r="K2" s="122"/>
      <c r="L2" s="122"/>
      <c r="M2" s="122"/>
      <c r="N2" s="122"/>
      <c r="O2" s="122"/>
      <c r="P2" s="122"/>
      <c r="Q2" s="123"/>
    </row>
    <row r="3" spans="2:17" ht="14.25" customHeight="1" x14ac:dyDescent="0.2">
      <c r="B3" s="7"/>
      <c r="C3" s="8" t="s">
        <v>0</v>
      </c>
      <c r="D3" s="8"/>
      <c r="E3" s="8"/>
      <c r="F3" s="8"/>
      <c r="G3" s="9"/>
      <c r="H3" s="9"/>
      <c r="I3" s="10"/>
      <c r="J3" s="9"/>
      <c r="K3" s="11"/>
      <c r="L3" s="11"/>
      <c r="M3" s="11"/>
      <c r="N3" s="11"/>
      <c r="O3" s="11"/>
      <c r="P3" s="11"/>
      <c r="Q3" s="12"/>
    </row>
    <row r="4" spans="2:17" ht="14.25" customHeight="1" x14ac:dyDescent="0.2">
      <c r="B4" s="7"/>
      <c r="C4" s="8" t="s">
        <v>41</v>
      </c>
      <c r="D4" s="8"/>
      <c r="E4" s="8"/>
      <c r="F4" s="8"/>
      <c r="G4" s="9"/>
      <c r="H4" s="9"/>
      <c r="I4" s="10"/>
      <c r="J4" s="9"/>
      <c r="K4" s="11"/>
      <c r="L4" s="11"/>
      <c r="M4" s="11"/>
      <c r="N4" s="11"/>
      <c r="O4" s="11"/>
      <c r="P4" s="11"/>
      <c r="Q4" s="12"/>
    </row>
    <row r="5" spans="2:17" ht="14.25" customHeight="1" x14ac:dyDescent="0.2">
      <c r="B5" s="7"/>
      <c r="C5" s="9" t="s">
        <v>42</v>
      </c>
      <c r="D5" s="9"/>
      <c r="E5" s="9"/>
      <c r="F5" s="9"/>
      <c r="G5" s="9"/>
      <c r="H5" s="9"/>
      <c r="I5" s="10"/>
      <c r="J5" s="9"/>
      <c r="K5" s="11"/>
      <c r="L5" s="11"/>
      <c r="M5" s="11"/>
      <c r="N5" s="11"/>
      <c r="O5" s="11"/>
      <c r="P5" s="11"/>
      <c r="Q5" s="12"/>
    </row>
    <row r="6" spans="2:17" ht="14.25" customHeight="1" x14ac:dyDescent="0.2">
      <c r="B6" s="13"/>
      <c r="C6" s="9" t="s">
        <v>43</v>
      </c>
      <c r="D6" s="9"/>
      <c r="E6" s="9"/>
      <c r="F6" s="9"/>
      <c r="G6" s="9"/>
      <c r="H6" s="14"/>
      <c r="I6" s="10"/>
      <c r="J6" s="14"/>
      <c r="K6" s="15" t="s">
        <v>1</v>
      </c>
      <c r="L6" s="124">
        <v>46157</v>
      </c>
      <c r="M6" s="124"/>
      <c r="N6" s="17"/>
      <c r="O6" s="17"/>
      <c r="P6" s="17"/>
      <c r="Q6" s="18"/>
    </row>
    <row r="7" spans="2:17" ht="14.25" customHeight="1" x14ac:dyDescent="0.2">
      <c r="B7" s="13"/>
      <c r="C7" s="9" t="s">
        <v>44</v>
      </c>
      <c r="D7" s="9"/>
      <c r="E7" s="9"/>
      <c r="F7" s="9"/>
      <c r="G7" s="9"/>
      <c r="H7" s="14"/>
      <c r="I7" s="10"/>
      <c r="J7" s="14"/>
      <c r="K7" s="19" t="s">
        <v>2</v>
      </c>
      <c r="L7" s="16" t="s">
        <v>70</v>
      </c>
      <c r="M7" s="17"/>
      <c r="N7" s="17"/>
      <c r="O7" s="17"/>
      <c r="P7" s="17"/>
      <c r="Q7" s="18"/>
    </row>
    <row r="8" spans="2:17" ht="14.25" customHeight="1" x14ac:dyDescent="0.2">
      <c r="B8" s="20"/>
      <c r="C8" s="8" t="s">
        <v>45</v>
      </c>
      <c r="D8" s="8"/>
      <c r="E8" s="8"/>
      <c r="F8" s="8"/>
      <c r="G8" s="9"/>
      <c r="H8" s="21"/>
      <c r="I8" s="21"/>
      <c r="J8" s="21"/>
      <c r="K8" s="22" t="s">
        <v>3</v>
      </c>
      <c r="L8" s="23" t="s">
        <v>4</v>
      </c>
      <c r="M8" s="16"/>
      <c r="N8" s="21"/>
      <c r="O8" s="16"/>
      <c r="P8" s="21"/>
      <c r="Q8" s="24"/>
    </row>
    <row r="9" spans="2:17" ht="14.25" customHeight="1" x14ac:dyDescent="0.2">
      <c r="B9" s="20"/>
      <c r="C9" s="8"/>
      <c r="D9" s="8"/>
      <c r="E9" s="8"/>
      <c r="F9" s="8"/>
      <c r="G9" s="9"/>
      <c r="H9" s="25"/>
      <c r="I9" s="23"/>
      <c r="J9" s="9"/>
      <c r="K9" s="22" t="s">
        <v>6</v>
      </c>
      <c r="L9" s="23" t="s">
        <v>7</v>
      </c>
      <c r="M9" s="9"/>
      <c r="N9" s="9"/>
      <c r="O9" s="9"/>
      <c r="P9" s="9"/>
      <c r="Q9" s="24"/>
    </row>
    <row r="10" spans="2:17" ht="14.25" customHeight="1" x14ac:dyDescent="0.2">
      <c r="B10" s="20"/>
      <c r="C10" s="8" t="s">
        <v>5</v>
      </c>
      <c r="D10" s="8"/>
      <c r="E10" s="8"/>
      <c r="F10" s="8"/>
      <c r="G10" s="9"/>
      <c r="H10" s="25"/>
      <c r="I10" s="23"/>
      <c r="J10" s="9"/>
      <c r="K10" s="22" t="s">
        <v>8</v>
      </c>
      <c r="L10" s="26">
        <v>1310329</v>
      </c>
      <c r="M10" s="9"/>
      <c r="N10" s="9"/>
      <c r="O10" s="9"/>
      <c r="P10" s="9"/>
      <c r="Q10" s="24"/>
    </row>
    <row r="11" spans="2:17" ht="14.25" customHeight="1" x14ac:dyDescent="0.2">
      <c r="B11" s="20"/>
      <c r="C11" s="8" t="s">
        <v>41</v>
      </c>
      <c r="D11" s="8"/>
      <c r="E11" s="8"/>
      <c r="F11" s="8"/>
      <c r="G11" s="9"/>
      <c r="H11" s="25"/>
      <c r="I11" s="23"/>
      <c r="J11" s="9"/>
      <c r="K11" s="25"/>
      <c r="L11" s="23"/>
      <c r="M11" s="9"/>
      <c r="N11" s="9"/>
      <c r="O11" s="9"/>
      <c r="P11" s="9"/>
      <c r="Q11" s="24"/>
    </row>
    <row r="12" spans="2:17" ht="14.25" customHeight="1" x14ac:dyDescent="0.2">
      <c r="B12" s="20"/>
      <c r="C12" s="9" t="s">
        <v>46</v>
      </c>
      <c r="D12" s="9"/>
      <c r="E12" s="9"/>
      <c r="F12" s="9"/>
      <c r="G12" s="9"/>
      <c r="H12" s="25"/>
      <c r="I12" s="23"/>
      <c r="J12" s="9"/>
      <c r="K12" s="121"/>
      <c r="L12" s="121"/>
      <c r="M12" s="121"/>
      <c r="N12" s="121"/>
      <c r="O12" s="121"/>
      <c r="P12" s="9"/>
      <c r="Q12" s="24"/>
    </row>
    <row r="13" spans="2:17" ht="14.25" customHeight="1" x14ac:dyDescent="0.2">
      <c r="B13" s="20"/>
      <c r="C13" s="8" t="s">
        <v>45</v>
      </c>
      <c r="D13" s="8"/>
      <c r="E13" s="8"/>
      <c r="F13" s="8"/>
      <c r="H13" s="28"/>
      <c r="I13" s="29"/>
      <c r="K13" s="30"/>
      <c r="L13" s="30"/>
      <c r="M13" s="30"/>
      <c r="O13" s="30"/>
      <c r="Q13" s="31"/>
    </row>
    <row r="14" spans="2:17" ht="14.25" customHeight="1" x14ac:dyDescent="0.15">
      <c r="B14" s="125" t="s">
        <v>71</v>
      </c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</row>
    <row r="15" spans="2:17" ht="14.25" customHeight="1" x14ac:dyDescent="0.15">
      <c r="B15" s="126"/>
      <c r="C15" s="127"/>
      <c r="D15" s="127"/>
      <c r="E15" s="127"/>
      <c r="F15" s="128"/>
      <c r="G15" s="32"/>
      <c r="H15" s="32"/>
      <c r="I15" s="32"/>
      <c r="J15" s="32"/>
      <c r="K15" s="33"/>
      <c r="L15" s="34"/>
      <c r="M15" s="129" t="s">
        <v>9</v>
      </c>
      <c r="N15" s="130"/>
      <c r="O15" s="129" t="s">
        <v>10</v>
      </c>
      <c r="P15" s="130"/>
      <c r="Q15" s="133" t="s">
        <v>11</v>
      </c>
    </row>
    <row r="16" spans="2:17" ht="14.25" customHeight="1" x14ac:dyDescent="0.15">
      <c r="B16" s="35" t="s">
        <v>12</v>
      </c>
      <c r="C16" s="36" t="s">
        <v>13</v>
      </c>
      <c r="D16" s="36" t="s">
        <v>14</v>
      </c>
      <c r="E16" s="37" t="s">
        <v>15</v>
      </c>
      <c r="F16" s="36" t="s">
        <v>16</v>
      </c>
      <c r="G16" s="135" t="s">
        <v>17</v>
      </c>
      <c r="H16" s="135"/>
      <c r="I16" s="38" t="s">
        <v>54</v>
      </c>
      <c r="J16" s="39" t="s">
        <v>55</v>
      </c>
      <c r="K16" s="35" t="s">
        <v>53</v>
      </c>
      <c r="L16" s="35" t="s">
        <v>18</v>
      </c>
      <c r="M16" s="131"/>
      <c r="N16" s="132"/>
      <c r="O16" s="131"/>
      <c r="P16" s="132"/>
      <c r="Q16" s="134"/>
    </row>
    <row r="17" spans="1:17" ht="14.25" customHeight="1" x14ac:dyDescent="0.15">
      <c r="B17" s="35"/>
      <c r="C17" s="36"/>
      <c r="D17" s="36"/>
      <c r="E17" s="37"/>
      <c r="F17" s="43"/>
      <c r="G17" s="36"/>
      <c r="H17" s="36"/>
      <c r="I17" s="44"/>
      <c r="J17" s="45"/>
      <c r="K17" s="35"/>
      <c r="L17" s="35"/>
      <c r="M17" s="40"/>
      <c r="N17" s="41"/>
      <c r="O17" s="40"/>
      <c r="P17" s="41"/>
      <c r="Q17" s="42"/>
    </row>
    <row r="18" spans="1:17" ht="14.25" customHeight="1" x14ac:dyDescent="0.15">
      <c r="B18" s="46"/>
      <c r="C18" s="47" t="s">
        <v>75</v>
      </c>
      <c r="D18" s="48"/>
      <c r="E18" s="46"/>
      <c r="F18" s="49"/>
      <c r="G18" s="48"/>
      <c r="H18" s="48"/>
      <c r="I18" s="50"/>
      <c r="J18" s="51"/>
      <c r="K18" s="52"/>
      <c r="L18" s="52"/>
      <c r="M18" s="53"/>
      <c r="N18" s="54"/>
      <c r="O18" s="53"/>
      <c r="P18" s="54"/>
      <c r="Q18" s="55"/>
    </row>
    <row r="19" spans="1:17" ht="15" x14ac:dyDescent="0.2">
      <c r="A19" s="6" t="s">
        <v>51</v>
      </c>
      <c r="B19" s="56">
        <v>1</v>
      </c>
      <c r="C19" s="57" t="s">
        <v>61</v>
      </c>
      <c r="D19" s="56">
        <v>3921</v>
      </c>
      <c r="E19" s="58" t="s">
        <v>19</v>
      </c>
      <c r="F19" s="59" t="s">
        <v>67</v>
      </c>
      <c r="G19" s="60">
        <v>96</v>
      </c>
      <c r="H19" s="60">
        <v>36</v>
      </c>
      <c r="I19" s="60">
        <v>1</v>
      </c>
      <c r="J19" s="61">
        <f t="shared" ref="J19:J20" si="0">G19*H19*I19/144</f>
        <v>24</v>
      </c>
      <c r="K19" s="60">
        <v>700</v>
      </c>
      <c r="L19" s="62">
        <f t="shared" ref="L19" si="1">K19*J19</f>
        <v>16800</v>
      </c>
      <c r="M19" s="63">
        <v>0.09</v>
      </c>
      <c r="N19" s="64">
        <f t="shared" ref="N19:N24" si="2">L19*M19</f>
        <v>1512</v>
      </c>
      <c r="O19" s="63">
        <v>0.09</v>
      </c>
      <c r="P19" s="64">
        <f t="shared" ref="P19:P24" si="3">L19*O19</f>
        <v>1512</v>
      </c>
      <c r="Q19" s="64">
        <f t="shared" ref="Q19:Q24" si="4">P19+N19+L19</f>
        <v>19824</v>
      </c>
    </row>
    <row r="20" spans="1:17" ht="15" x14ac:dyDescent="0.2">
      <c r="B20" s="56">
        <v>2</v>
      </c>
      <c r="C20" s="57" t="s">
        <v>62</v>
      </c>
      <c r="D20" s="56">
        <v>3921</v>
      </c>
      <c r="E20" s="58" t="s">
        <v>19</v>
      </c>
      <c r="F20" s="59" t="s">
        <v>63</v>
      </c>
      <c r="G20" s="60">
        <v>36</v>
      </c>
      <c r="H20" s="60">
        <v>18</v>
      </c>
      <c r="I20" s="60">
        <v>4</v>
      </c>
      <c r="J20" s="61">
        <f t="shared" si="0"/>
        <v>18</v>
      </c>
      <c r="K20" s="60">
        <v>300</v>
      </c>
      <c r="L20" s="62">
        <f t="shared" ref="L20" si="5">K20*J20</f>
        <v>5400</v>
      </c>
      <c r="M20" s="63">
        <v>0.09</v>
      </c>
      <c r="N20" s="64">
        <f t="shared" si="2"/>
        <v>486</v>
      </c>
      <c r="O20" s="63">
        <v>0.09</v>
      </c>
      <c r="P20" s="64">
        <f t="shared" si="3"/>
        <v>486</v>
      </c>
      <c r="Q20" s="64">
        <f t="shared" si="4"/>
        <v>6372</v>
      </c>
    </row>
    <row r="21" spans="1:17" ht="15" x14ac:dyDescent="0.2">
      <c r="B21" s="56">
        <v>3</v>
      </c>
      <c r="C21" s="57" t="s">
        <v>64</v>
      </c>
      <c r="D21" s="56">
        <v>3921</v>
      </c>
      <c r="E21" s="58" t="s">
        <v>19</v>
      </c>
      <c r="F21" s="59" t="s">
        <v>65</v>
      </c>
      <c r="G21" s="60">
        <v>24</v>
      </c>
      <c r="H21" s="60">
        <v>20</v>
      </c>
      <c r="I21" s="60">
        <v>4</v>
      </c>
      <c r="J21" s="61">
        <f t="shared" ref="J21:J23" si="6">G21*H21*I21/144</f>
        <v>13.333333333333334</v>
      </c>
      <c r="K21" s="60">
        <v>300</v>
      </c>
      <c r="L21" s="62">
        <f t="shared" ref="L21:L23" si="7">K21*J21</f>
        <v>4000</v>
      </c>
      <c r="M21" s="63">
        <v>0.09</v>
      </c>
      <c r="N21" s="64">
        <f t="shared" si="2"/>
        <v>360</v>
      </c>
      <c r="O21" s="63">
        <v>0.09</v>
      </c>
      <c r="P21" s="64">
        <f t="shared" si="3"/>
        <v>360</v>
      </c>
      <c r="Q21" s="64">
        <f t="shared" si="4"/>
        <v>4720</v>
      </c>
    </row>
    <row r="22" spans="1:17" ht="14" x14ac:dyDescent="0.2">
      <c r="B22" s="56">
        <v>4</v>
      </c>
      <c r="C22" s="57" t="s">
        <v>47</v>
      </c>
      <c r="D22" s="56">
        <v>3921</v>
      </c>
      <c r="E22" s="58" t="s">
        <v>37</v>
      </c>
      <c r="F22" s="57" t="s">
        <v>50</v>
      </c>
      <c r="G22" s="60">
        <v>162</v>
      </c>
      <c r="H22" s="60">
        <v>160</v>
      </c>
      <c r="I22" s="60">
        <v>1</v>
      </c>
      <c r="J22" s="61">
        <f t="shared" si="6"/>
        <v>180</v>
      </c>
      <c r="K22" s="60">
        <v>45</v>
      </c>
      <c r="L22" s="62">
        <f t="shared" si="7"/>
        <v>8100</v>
      </c>
      <c r="M22" s="63">
        <v>0.09</v>
      </c>
      <c r="N22" s="64">
        <f t="shared" si="2"/>
        <v>729</v>
      </c>
      <c r="O22" s="63">
        <v>0.09</v>
      </c>
      <c r="P22" s="64">
        <f t="shared" si="3"/>
        <v>729</v>
      </c>
      <c r="Q22" s="64">
        <f t="shared" si="4"/>
        <v>9558</v>
      </c>
    </row>
    <row r="23" spans="1:17" ht="14" x14ac:dyDescent="0.2">
      <c r="B23" s="56">
        <v>5</v>
      </c>
      <c r="C23" s="57" t="s">
        <v>49</v>
      </c>
      <c r="D23" s="56">
        <v>3921</v>
      </c>
      <c r="E23" s="58" t="s">
        <v>37</v>
      </c>
      <c r="F23" s="57" t="s">
        <v>48</v>
      </c>
      <c r="G23" s="60">
        <v>132</v>
      </c>
      <c r="H23" s="60">
        <v>48</v>
      </c>
      <c r="I23" s="60">
        <v>1</v>
      </c>
      <c r="J23" s="61">
        <f t="shared" si="6"/>
        <v>44</v>
      </c>
      <c r="K23" s="60">
        <v>60</v>
      </c>
      <c r="L23" s="62">
        <f t="shared" si="7"/>
        <v>2640</v>
      </c>
      <c r="M23" s="63">
        <v>0.09</v>
      </c>
      <c r="N23" s="64">
        <f t="shared" si="2"/>
        <v>237.6</v>
      </c>
      <c r="O23" s="63">
        <v>0.09</v>
      </c>
      <c r="P23" s="64">
        <f t="shared" si="3"/>
        <v>237.6</v>
      </c>
      <c r="Q23" s="64">
        <f t="shared" si="4"/>
        <v>3115.2</v>
      </c>
    </row>
    <row r="24" spans="1:17" ht="14.25" customHeight="1" x14ac:dyDescent="0.2">
      <c r="B24" s="56">
        <v>6</v>
      </c>
      <c r="C24" s="57" t="s">
        <v>66</v>
      </c>
      <c r="D24" s="56">
        <v>3921</v>
      </c>
      <c r="E24" s="58" t="s">
        <v>19</v>
      </c>
      <c r="F24" s="57" t="s">
        <v>66</v>
      </c>
      <c r="G24" s="60"/>
      <c r="H24" s="60"/>
      <c r="I24" s="60"/>
      <c r="J24" s="61"/>
      <c r="K24" s="60"/>
      <c r="L24" s="62">
        <v>4000</v>
      </c>
      <c r="M24" s="63">
        <v>0.09</v>
      </c>
      <c r="N24" s="64">
        <f t="shared" si="2"/>
        <v>360</v>
      </c>
      <c r="O24" s="63">
        <v>0.09</v>
      </c>
      <c r="P24" s="64">
        <f t="shared" si="3"/>
        <v>360</v>
      </c>
      <c r="Q24" s="64">
        <f t="shared" si="4"/>
        <v>4720</v>
      </c>
    </row>
    <row r="25" spans="1:17" ht="14.25" customHeight="1" x14ac:dyDescent="0.2">
      <c r="B25" s="56">
        <v>7</v>
      </c>
      <c r="C25" s="57" t="s">
        <v>38</v>
      </c>
      <c r="D25" s="56">
        <v>9987</v>
      </c>
      <c r="E25" s="58" t="s">
        <v>37</v>
      </c>
      <c r="F25" s="57" t="s">
        <v>72</v>
      </c>
      <c r="G25" s="60"/>
      <c r="H25" s="60"/>
      <c r="I25" s="60">
        <v>1</v>
      </c>
      <c r="J25" s="60">
        <v>1</v>
      </c>
      <c r="K25" s="62">
        <v>1000</v>
      </c>
      <c r="L25" s="62">
        <v>1000</v>
      </c>
      <c r="M25" s="63">
        <v>0.09</v>
      </c>
      <c r="N25" s="64">
        <f t="shared" ref="N25:N28" si="8">L25*M25</f>
        <v>90</v>
      </c>
      <c r="O25" s="63">
        <v>0.09</v>
      </c>
      <c r="P25" s="64">
        <f t="shared" ref="P25:P28" si="9">L25*O25</f>
        <v>90</v>
      </c>
      <c r="Q25" s="64">
        <f t="shared" ref="Q25:Q28" si="10">P25+N25+L25</f>
        <v>1180</v>
      </c>
    </row>
    <row r="26" spans="1:17" ht="14.25" customHeight="1" x14ac:dyDescent="0.2">
      <c r="B26" s="56">
        <v>8</v>
      </c>
      <c r="C26" s="57" t="s">
        <v>20</v>
      </c>
      <c r="D26" s="56">
        <v>9987</v>
      </c>
      <c r="E26" s="58" t="s">
        <v>37</v>
      </c>
      <c r="F26" s="57" t="s">
        <v>21</v>
      </c>
      <c r="G26" s="60"/>
      <c r="H26" s="60"/>
      <c r="I26" s="60">
        <v>1</v>
      </c>
      <c r="J26" s="60">
        <v>1</v>
      </c>
      <c r="K26" s="60">
        <f>ROUND(((SUM(L18:L25))*7%),0)</f>
        <v>2936</v>
      </c>
      <c r="L26" s="60">
        <f>K26</f>
        <v>2936</v>
      </c>
      <c r="M26" s="63">
        <v>0.09</v>
      </c>
      <c r="N26" s="64">
        <f t="shared" si="8"/>
        <v>264.24</v>
      </c>
      <c r="O26" s="63">
        <v>0.09</v>
      </c>
      <c r="P26" s="64">
        <f t="shared" si="9"/>
        <v>264.24</v>
      </c>
      <c r="Q26" s="64">
        <f t="shared" si="10"/>
        <v>3464.48</v>
      </c>
    </row>
    <row r="27" spans="1:17" ht="14.25" customHeight="1" x14ac:dyDescent="0.2">
      <c r="B27" s="56">
        <v>9</v>
      </c>
      <c r="C27" s="57" t="s">
        <v>22</v>
      </c>
      <c r="D27" s="56">
        <v>9987</v>
      </c>
      <c r="E27" s="58" t="s">
        <v>37</v>
      </c>
      <c r="F27" s="57" t="s">
        <v>23</v>
      </c>
      <c r="G27" s="60"/>
      <c r="H27" s="60"/>
      <c r="I27" s="60">
        <v>1</v>
      </c>
      <c r="J27" s="60">
        <v>1</v>
      </c>
      <c r="K27" s="60">
        <f>ROUND(((SUM(L18:L25))*4%),0)</f>
        <v>1678</v>
      </c>
      <c r="L27" s="60">
        <f>K27</f>
        <v>1678</v>
      </c>
      <c r="M27" s="63">
        <v>0.09</v>
      </c>
      <c r="N27" s="64">
        <f t="shared" si="8"/>
        <v>151.01999999999998</v>
      </c>
      <c r="O27" s="63">
        <v>0.09</v>
      </c>
      <c r="P27" s="64">
        <f t="shared" si="9"/>
        <v>151.01999999999998</v>
      </c>
      <c r="Q27" s="64">
        <f t="shared" si="10"/>
        <v>1980.04</v>
      </c>
    </row>
    <row r="28" spans="1:17" ht="14.25" customHeight="1" x14ac:dyDescent="0.2">
      <c r="B28" s="56">
        <v>10</v>
      </c>
      <c r="C28" s="57" t="s">
        <v>39</v>
      </c>
      <c r="D28" s="56">
        <v>9987</v>
      </c>
      <c r="E28" s="58" t="s">
        <v>37</v>
      </c>
      <c r="F28" s="65" t="s">
        <v>40</v>
      </c>
      <c r="G28" s="60"/>
      <c r="H28" s="60"/>
      <c r="I28" s="60">
        <v>1</v>
      </c>
      <c r="J28" s="60">
        <v>1</v>
      </c>
      <c r="K28" s="60">
        <v>1000</v>
      </c>
      <c r="L28" s="60">
        <f>K28</f>
        <v>1000</v>
      </c>
      <c r="M28" s="63">
        <v>0.09</v>
      </c>
      <c r="N28" s="64">
        <f t="shared" si="8"/>
        <v>90</v>
      </c>
      <c r="O28" s="63">
        <v>0.09</v>
      </c>
      <c r="P28" s="64">
        <f t="shared" si="9"/>
        <v>90</v>
      </c>
      <c r="Q28" s="64">
        <f t="shared" si="10"/>
        <v>1180</v>
      </c>
    </row>
    <row r="29" spans="1:17" ht="14.25" customHeight="1" x14ac:dyDescent="0.2">
      <c r="B29" s="56"/>
      <c r="C29" s="57"/>
      <c r="D29" s="56"/>
      <c r="E29" s="58"/>
      <c r="F29" s="65"/>
      <c r="G29" s="60"/>
      <c r="H29" s="60"/>
      <c r="I29" s="66"/>
      <c r="J29" s="67"/>
      <c r="K29" s="60"/>
      <c r="L29" s="60"/>
      <c r="M29" s="68"/>
      <c r="N29" s="69"/>
      <c r="O29" s="68"/>
      <c r="P29" s="69"/>
      <c r="Q29" s="70"/>
    </row>
    <row r="30" spans="1:17" ht="14.25" customHeight="1" x14ac:dyDescent="0.15">
      <c r="B30" s="46"/>
      <c r="C30" s="47" t="s">
        <v>76</v>
      </c>
      <c r="D30" s="48"/>
      <c r="E30" s="46"/>
      <c r="F30" s="49"/>
      <c r="G30" s="48"/>
      <c r="H30" s="48"/>
      <c r="I30" s="50"/>
      <c r="J30" s="51"/>
      <c r="K30" s="52"/>
      <c r="L30" s="52"/>
      <c r="M30" s="53"/>
      <c r="N30" s="54"/>
      <c r="O30" s="53"/>
      <c r="P30" s="54"/>
      <c r="Q30" s="55"/>
    </row>
    <row r="31" spans="1:17" ht="15" x14ac:dyDescent="0.2">
      <c r="A31" s="6" t="s">
        <v>51</v>
      </c>
      <c r="B31" s="56">
        <v>1</v>
      </c>
      <c r="C31" s="57" t="s">
        <v>61</v>
      </c>
      <c r="D31" s="56">
        <v>3921</v>
      </c>
      <c r="E31" s="58" t="s">
        <v>19</v>
      </c>
      <c r="F31" s="59" t="s">
        <v>67</v>
      </c>
      <c r="G31" s="60">
        <v>96</v>
      </c>
      <c r="H31" s="60">
        <v>36</v>
      </c>
      <c r="I31" s="60">
        <v>1</v>
      </c>
      <c r="J31" s="61">
        <f t="shared" ref="J31:J35" si="11">G31*H31*I31/144</f>
        <v>24</v>
      </c>
      <c r="K31" s="60">
        <v>700</v>
      </c>
      <c r="L31" s="62">
        <f t="shared" ref="L31:L35" si="12">K31*J31</f>
        <v>16800</v>
      </c>
      <c r="M31" s="63">
        <v>0.09</v>
      </c>
      <c r="N31" s="64">
        <f t="shared" ref="N31:N40" si="13">L31*M31</f>
        <v>1512</v>
      </c>
      <c r="O31" s="63">
        <v>0.09</v>
      </c>
      <c r="P31" s="64">
        <f t="shared" ref="P31:P40" si="14">L31*O31</f>
        <v>1512</v>
      </c>
      <c r="Q31" s="64">
        <f t="shared" ref="Q31:Q40" si="15">P31+N31+L31</f>
        <v>19824</v>
      </c>
    </row>
    <row r="32" spans="1:17" ht="15" x14ac:dyDescent="0.2">
      <c r="B32" s="56">
        <v>2</v>
      </c>
      <c r="C32" s="57" t="s">
        <v>62</v>
      </c>
      <c r="D32" s="56">
        <v>3921</v>
      </c>
      <c r="E32" s="58" t="s">
        <v>19</v>
      </c>
      <c r="F32" s="59" t="s">
        <v>63</v>
      </c>
      <c r="G32" s="60">
        <v>36</v>
      </c>
      <c r="H32" s="60">
        <v>18</v>
      </c>
      <c r="I32" s="60">
        <v>4</v>
      </c>
      <c r="J32" s="61">
        <f t="shared" si="11"/>
        <v>18</v>
      </c>
      <c r="K32" s="60">
        <v>300</v>
      </c>
      <c r="L32" s="62">
        <f t="shared" si="12"/>
        <v>5400</v>
      </c>
      <c r="M32" s="63">
        <v>0.09</v>
      </c>
      <c r="N32" s="64">
        <f t="shared" si="13"/>
        <v>486</v>
      </c>
      <c r="O32" s="63">
        <v>0.09</v>
      </c>
      <c r="P32" s="64">
        <f t="shared" si="14"/>
        <v>486</v>
      </c>
      <c r="Q32" s="64">
        <f t="shared" si="15"/>
        <v>6372</v>
      </c>
    </row>
    <row r="33" spans="2:17" ht="15" x14ac:dyDescent="0.2">
      <c r="B33" s="56">
        <v>3</v>
      </c>
      <c r="C33" s="57" t="s">
        <v>64</v>
      </c>
      <c r="D33" s="56">
        <v>3921</v>
      </c>
      <c r="E33" s="58" t="s">
        <v>19</v>
      </c>
      <c r="F33" s="59" t="s">
        <v>65</v>
      </c>
      <c r="G33" s="60">
        <v>24</v>
      </c>
      <c r="H33" s="60">
        <v>20</v>
      </c>
      <c r="I33" s="60">
        <v>4</v>
      </c>
      <c r="J33" s="61">
        <f t="shared" si="11"/>
        <v>13.333333333333334</v>
      </c>
      <c r="K33" s="60">
        <v>300</v>
      </c>
      <c r="L33" s="62">
        <f t="shared" si="12"/>
        <v>4000</v>
      </c>
      <c r="M33" s="63">
        <v>0.09</v>
      </c>
      <c r="N33" s="64">
        <f t="shared" si="13"/>
        <v>360</v>
      </c>
      <c r="O33" s="63">
        <v>0.09</v>
      </c>
      <c r="P33" s="64">
        <f t="shared" si="14"/>
        <v>360</v>
      </c>
      <c r="Q33" s="64">
        <f t="shared" si="15"/>
        <v>4720</v>
      </c>
    </row>
    <row r="34" spans="2:17" ht="14.25" customHeight="1" x14ac:dyDescent="0.2">
      <c r="B34" s="56">
        <v>4</v>
      </c>
      <c r="C34" s="57" t="s">
        <v>68</v>
      </c>
      <c r="D34" s="56">
        <v>3921</v>
      </c>
      <c r="E34" s="58" t="s">
        <v>19</v>
      </c>
      <c r="F34" s="59" t="s">
        <v>69</v>
      </c>
      <c r="G34" s="60">
        <v>96</v>
      </c>
      <c r="H34" s="60">
        <v>36</v>
      </c>
      <c r="I34" s="60">
        <v>1</v>
      </c>
      <c r="J34" s="61">
        <f t="shared" si="11"/>
        <v>24</v>
      </c>
      <c r="K34" s="60">
        <v>320</v>
      </c>
      <c r="L34" s="62">
        <f t="shared" si="12"/>
        <v>7680</v>
      </c>
      <c r="M34" s="63">
        <v>0.09</v>
      </c>
      <c r="N34" s="64">
        <f t="shared" si="13"/>
        <v>691.19999999999993</v>
      </c>
      <c r="O34" s="63">
        <v>0.09</v>
      </c>
      <c r="P34" s="64">
        <f t="shared" si="14"/>
        <v>691.19999999999993</v>
      </c>
      <c r="Q34" s="64">
        <f t="shared" si="15"/>
        <v>9062.4</v>
      </c>
    </row>
    <row r="35" spans="2:17" ht="14.25" customHeight="1" x14ac:dyDescent="0.2">
      <c r="B35" s="56">
        <v>5</v>
      </c>
      <c r="C35" s="57" t="s">
        <v>49</v>
      </c>
      <c r="D35" s="56">
        <v>3921</v>
      </c>
      <c r="E35" s="58" t="s">
        <v>19</v>
      </c>
      <c r="F35" s="57" t="s">
        <v>48</v>
      </c>
      <c r="G35" s="60">
        <v>132</v>
      </c>
      <c r="H35" s="60">
        <v>48</v>
      </c>
      <c r="I35" s="60">
        <v>1</v>
      </c>
      <c r="J35" s="61">
        <f t="shared" si="11"/>
        <v>44</v>
      </c>
      <c r="K35" s="60">
        <v>60</v>
      </c>
      <c r="L35" s="62">
        <f t="shared" si="12"/>
        <v>2640</v>
      </c>
      <c r="M35" s="63">
        <v>0.09</v>
      </c>
      <c r="N35" s="64">
        <f t="shared" si="13"/>
        <v>237.6</v>
      </c>
      <c r="O35" s="63">
        <v>0.09</v>
      </c>
      <c r="P35" s="64">
        <f t="shared" si="14"/>
        <v>237.6</v>
      </c>
      <c r="Q35" s="64">
        <f t="shared" si="15"/>
        <v>3115.2</v>
      </c>
    </row>
    <row r="36" spans="2:17" ht="14.25" customHeight="1" x14ac:dyDescent="0.2">
      <c r="B36" s="56">
        <v>6</v>
      </c>
      <c r="C36" s="57" t="s">
        <v>66</v>
      </c>
      <c r="D36" s="56">
        <v>3921</v>
      </c>
      <c r="E36" s="58" t="s">
        <v>19</v>
      </c>
      <c r="F36" s="57" t="s">
        <v>48</v>
      </c>
      <c r="G36" s="60"/>
      <c r="H36" s="60"/>
      <c r="I36" s="60"/>
      <c r="J36" s="61"/>
      <c r="K36" s="60"/>
      <c r="L36" s="62">
        <v>4000</v>
      </c>
      <c r="M36" s="63">
        <v>0.09</v>
      </c>
      <c r="N36" s="64">
        <f t="shared" si="13"/>
        <v>360</v>
      </c>
      <c r="O36" s="63">
        <v>0.09</v>
      </c>
      <c r="P36" s="64">
        <f t="shared" si="14"/>
        <v>360</v>
      </c>
      <c r="Q36" s="64">
        <f t="shared" si="15"/>
        <v>4720</v>
      </c>
    </row>
    <row r="37" spans="2:17" ht="14.25" customHeight="1" x14ac:dyDescent="0.2">
      <c r="B37" s="56">
        <v>8</v>
      </c>
      <c r="C37" s="57" t="s">
        <v>38</v>
      </c>
      <c r="D37" s="56">
        <v>9987</v>
      </c>
      <c r="E37" s="58" t="s">
        <v>37</v>
      </c>
      <c r="F37" s="57" t="s">
        <v>52</v>
      </c>
      <c r="G37" s="60"/>
      <c r="H37" s="60"/>
      <c r="I37" s="60">
        <v>1</v>
      </c>
      <c r="J37" s="60">
        <v>1</v>
      </c>
      <c r="K37" s="62">
        <v>1000</v>
      </c>
      <c r="L37" s="62">
        <v>1000</v>
      </c>
      <c r="M37" s="63">
        <v>0.09</v>
      </c>
      <c r="N37" s="64">
        <f t="shared" si="13"/>
        <v>90</v>
      </c>
      <c r="O37" s="63">
        <v>0.09</v>
      </c>
      <c r="P37" s="64">
        <f t="shared" si="14"/>
        <v>90</v>
      </c>
      <c r="Q37" s="64">
        <f t="shared" si="15"/>
        <v>1180</v>
      </c>
    </row>
    <row r="38" spans="2:17" ht="14.25" customHeight="1" x14ac:dyDescent="0.2">
      <c r="B38" s="56">
        <v>9</v>
      </c>
      <c r="C38" s="57" t="s">
        <v>20</v>
      </c>
      <c r="D38" s="56">
        <v>9987</v>
      </c>
      <c r="E38" s="58" t="s">
        <v>37</v>
      </c>
      <c r="F38" s="57" t="s">
        <v>21</v>
      </c>
      <c r="G38" s="60"/>
      <c r="H38" s="60"/>
      <c r="I38" s="60">
        <v>1</v>
      </c>
      <c r="J38" s="60">
        <v>1</v>
      </c>
      <c r="K38" s="60">
        <f>ROUND(((SUM(L30:L37))*7%),0)</f>
        <v>2906</v>
      </c>
      <c r="L38" s="60">
        <f>K38</f>
        <v>2906</v>
      </c>
      <c r="M38" s="63">
        <v>0.09</v>
      </c>
      <c r="N38" s="64">
        <f t="shared" si="13"/>
        <v>261.53999999999996</v>
      </c>
      <c r="O38" s="63">
        <v>0.09</v>
      </c>
      <c r="P38" s="64">
        <f t="shared" si="14"/>
        <v>261.53999999999996</v>
      </c>
      <c r="Q38" s="64">
        <f t="shared" si="15"/>
        <v>3429.08</v>
      </c>
    </row>
    <row r="39" spans="2:17" ht="14.25" customHeight="1" x14ac:dyDescent="0.2">
      <c r="B39" s="56">
        <v>10</v>
      </c>
      <c r="C39" s="57" t="s">
        <v>22</v>
      </c>
      <c r="D39" s="56">
        <v>9987</v>
      </c>
      <c r="E39" s="58" t="s">
        <v>37</v>
      </c>
      <c r="F39" s="57" t="s">
        <v>23</v>
      </c>
      <c r="G39" s="60"/>
      <c r="H39" s="60"/>
      <c r="I39" s="60">
        <v>1</v>
      </c>
      <c r="J39" s="60">
        <v>1</v>
      </c>
      <c r="K39" s="60">
        <f>ROUND(((SUM(L30:L37))*4%),0)</f>
        <v>1661</v>
      </c>
      <c r="L39" s="60">
        <f>K39</f>
        <v>1661</v>
      </c>
      <c r="M39" s="63">
        <v>0.09</v>
      </c>
      <c r="N39" s="64">
        <f t="shared" si="13"/>
        <v>149.48999999999998</v>
      </c>
      <c r="O39" s="63">
        <v>0.09</v>
      </c>
      <c r="P39" s="64">
        <f t="shared" si="14"/>
        <v>149.48999999999998</v>
      </c>
      <c r="Q39" s="64">
        <f t="shared" si="15"/>
        <v>1959.98</v>
      </c>
    </row>
    <row r="40" spans="2:17" ht="14.25" customHeight="1" x14ac:dyDescent="0.2">
      <c r="B40" s="56">
        <v>11</v>
      </c>
      <c r="C40" s="57" t="s">
        <v>39</v>
      </c>
      <c r="D40" s="56">
        <v>9987</v>
      </c>
      <c r="E40" s="58" t="s">
        <v>37</v>
      </c>
      <c r="F40" s="65" t="s">
        <v>40</v>
      </c>
      <c r="G40" s="60"/>
      <c r="H40" s="60"/>
      <c r="I40" s="60">
        <v>1</v>
      </c>
      <c r="J40" s="60">
        <v>1</v>
      </c>
      <c r="K40" s="60">
        <v>1000</v>
      </c>
      <c r="L40" s="60">
        <f>K40</f>
        <v>1000</v>
      </c>
      <c r="M40" s="63">
        <v>0.09</v>
      </c>
      <c r="N40" s="64">
        <f t="shared" si="13"/>
        <v>90</v>
      </c>
      <c r="O40" s="63">
        <v>0.09</v>
      </c>
      <c r="P40" s="64">
        <f t="shared" si="14"/>
        <v>90</v>
      </c>
      <c r="Q40" s="64">
        <f t="shared" si="15"/>
        <v>1180</v>
      </c>
    </row>
    <row r="41" spans="2:17" ht="14.25" customHeight="1" x14ac:dyDescent="0.2">
      <c r="B41" s="46"/>
      <c r="C41" s="47"/>
      <c r="D41" s="48"/>
      <c r="E41" s="46"/>
      <c r="F41" s="49"/>
      <c r="G41" s="71"/>
      <c r="H41" s="71"/>
      <c r="I41" s="72"/>
      <c r="J41" s="73"/>
      <c r="K41" s="74"/>
      <c r="L41" s="74"/>
      <c r="M41" s="75"/>
      <c r="N41" s="76"/>
      <c r="O41" s="75"/>
      <c r="P41" s="76"/>
      <c r="Q41" s="77"/>
    </row>
    <row r="42" spans="2:17" ht="14" x14ac:dyDescent="0.15">
      <c r="B42" s="46"/>
      <c r="C42" s="47" t="s">
        <v>77</v>
      </c>
      <c r="D42" s="48"/>
      <c r="E42" s="46"/>
      <c r="F42" s="49"/>
      <c r="G42" s="48"/>
      <c r="H42" s="48"/>
      <c r="I42" s="50"/>
      <c r="J42" s="51"/>
      <c r="K42" s="52"/>
      <c r="L42" s="52"/>
      <c r="M42" s="53"/>
      <c r="N42" s="54"/>
      <c r="O42" s="53"/>
      <c r="P42" s="54"/>
      <c r="Q42" s="55"/>
    </row>
    <row r="43" spans="2:17" ht="15" x14ac:dyDescent="0.2">
      <c r="B43" s="56">
        <v>1</v>
      </c>
      <c r="C43" s="57" t="s">
        <v>61</v>
      </c>
      <c r="D43" s="56">
        <v>3921</v>
      </c>
      <c r="E43" s="58" t="s">
        <v>19</v>
      </c>
      <c r="F43" s="59" t="s">
        <v>67</v>
      </c>
      <c r="G43" s="60">
        <v>96</v>
      </c>
      <c r="H43" s="60">
        <v>36</v>
      </c>
      <c r="I43" s="60">
        <v>1</v>
      </c>
      <c r="J43" s="61">
        <f t="shared" ref="J43:J47" si="16">G43*H43*I43/144</f>
        <v>24</v>
      </c>
      <c r="K43" s="60">
        <v>700</v>
      </c>
      <c r="L43" s="62">
        <f t="shared" ref="L43:L47" si="17">K43*J43</f>
        <v>16800</v>
      </c>
      <c r="M43" s="63">
        <v>0.09</v>
      </c>
      <c r="N43" s="64">
        <f t="shared" ref="N43:N52" si="18">L43*M43</f>
        <v>1512</v>
      </c>
      <c r="O43" s="63">
        <v>0.09</v>
      </c>
      <c r="P43" s="64">
        <f t="shared" ref="P43:P52" si="19">L43*O43</f>
        <v>1512</v>
      </c>
      <c r="Q43" s="64">
        <f t="shared" ref="Q43:Q52" si="20">P43+N43+L43</f>
        <v>19824</v>
      </c>
    </row>
    <row r="44" spans="2:17" ht="14.25" customHeight="1" x14ac:dyDescent="0.2">
      <c r="B44" s="56">
        <v>2</v>
      </c>
      <c r="C44" s="57" t="s">
        <v>62</v>
      </c>
      <c r="D44" s="56">
        <v>3921</v>
      </c>
      <c r="E44" s="58" t="s">
        <v>19</v>
      </c>
      <c r="F44" s="59" t="s">
        <v>63</v>
      </c>
      <c r="G44" s="60">
        <v>36</v>
      </c>
      <c r="H44" s="60">
        <v>18</v>
      </c>
      <c r="I44" s="60">
        <v>4</v>
      </c>
      <c r="J44" s="61">
        <f t="shared" si="16"/>
        <v>18</v>
      </c>
      <c r="K44" s="60">
        <v>300</v>
      </c>
      <c r="L44" s="62">
        <f t="shared" si="17"/>
        <v>5400</v>
      </c>
      <c r="M44" s="63">
        <v>0.09</v>
      </c>
      <c r="N44" s="64">
        <f t="shared" si="18"/>
        <v>486</v>
      </c>
      <c r="O44" s="63">
        <v>0.09</v>
      </c>
      <c r="P44" s="64">
        <f t="shared" si="19"/>
        <v>486</v>
      </c>
      <c r="Q44" s="64">
        <f t="shared" si="20"/>
        <v>6372</v>
      </c>
    </row>
    <row r="45" spans="2:17" ht="14.25" customHeight="1" x14ac:dyDescent="0.2">
      <c r="B45" s="56">
        <v>3</v>
      </c>
      <c r="C45" s="57" t="s">
        <v>64</v>
      </c>
      <c r="D45" s="56">
        <v>3921</v>
      </c>
      <c r="E45" s="58" t="s">
        <v>19</v>
      </c>
      <c r="F45" s="59" t="s">
        <v>65</v>
      </c>
      <c r="G45" s="60">
        <v>24</v>
      </c>
      <c r="H45" s="60">
        <v>20</v>
      </c>
      <c r="I45" s="60">
        <v>4</v>
      </c>
      <c r="J45" s="61">
        <f t="shared" si="16"/>
        <v>13.333333333333334</v>
      </c>
      <c r="K45" s="60">
        <v>300</v>
      </c>
      <c r="L45" s="62">
        <f t="shared" si="17"/>
        <v>4000</v>
      </c>
      <c r="M45" s="63">
        <v>0.09</v>
      </c>
      <c r="N45" s="64">
        <f t="shared" si="18"/>
        <v>360</v>
      </c>
      <c r="O45" s="63">
        <v>0.09</v>
      </c>
      <c r="P45" s="64">
        <f t="shared" si="19"/>
        <v>360</v>
      </c>
      <c r="Q45" s="64">
        <f t="shared" si="20"/>
        <v>4720</v>
      </c>
    </row>
    <row r="46" spans="2:17" ht="14.25" customHeight="1" x14ac:dyDescent="0.2">
      <c r="B46" s="56">
        <v>4</v>
      </c>
      <c r="C46" s="57" t="s">
        <v>68</v>
      </c>
      <c r="D46" s="56">
        <v>3921</v>
      </c>
      <c r="E46" s="58" t="s">
        <v>19</v>
      </c>
      <c r="F46" s="59" t="s">
        <v>69</v>
      </c>
      <c r="G46" s="60">
        <v>96</v>
      </c>
      <c r="H46" s="60">
        <v>36</v>
      </c>
      <c r="I46" s="60">
        <v>2</v>
      </c>
      <c r="J46" s="61">
        <f t="shared" si="16"/>
        <v>48</v>
      </c>
      <c r="K46" s="60">
        <v>320</v>
      </c>
      <c r="L46" s="62">
        <f t="shared" si="17"/>
        <v>15360</v>
      </c>
      <c r="M46" s="63">
        <v>0.09</v>
      </c>
      <c r="N46" s="64">
        <f t="shared" si="18"/>
        <v>1382.3999999999999</v>
      </c>
      <c r="O46" s="63">
        <v>0.09</v>
      </c>
      <c r="P46" s="64">
        <f t="shared" si="19"/>
        <v>1382.3999999999999</v>
      </c>
      <c r="Q46" s="64">
        <f t="shared" si="20"/>
        <v>18124.8</v>
      </c>
    </row>
    <row r="47" spans="2:17" ht="14.25" customHeight="1" x14ac:dyDescent="0.2">
      <c r="B47" s="56">
        <v>5</v>
      </c>
      <c r="C47" s="57" t="s">
        <v>49</v>
      </c>
      <c r="D47" s="56">
        <v>3921</v>
      </c>
      <c r="E47" s="58" t="s">
        <v>19</v>
      </c>
      <c r="F47" s="57" t="s">
        <v>48</v>
      </c>
      <c r="G47" s="60">
        <v>132</v>
      </c>
      <c r="H47" s="60">
        <v>48</v>
      </c>
      <c r="I47" s="60">
        <v>1</v>
      </c>
      <c r="J47" s="61">
        <f t="shared" si="16"/>
        <v>44</v>
      </c>
      <c r="K47" s="60">
        <v>60</v>
      </c>
      <c r="L47" s="62">
        <f t="shared" si="17"/>
        <v>2640</v>
      </c>
      <c r="M47" s="63">
        <v>0.09</v>
      </c>
      <c r="N47" s="64">
        <f t="shared" si="18"/>
        <v>237.6</v>
      </c>
      <c r="O47" s="63">
        <v>0.09</v>
      </c>
      <c r="P47" s="64">
        <f t="shared" si="19"/>
        <v>237.6</v>
      </c>
      <c r="Q47" s="64">
        <f t="shared" si="20"/>
        <v>3115.2</v>
      </c>
    </row>
    <row r="48" spans="2:17" ht="14.25" customHeight="1" x14ac:dyDescent="0.2">
      <c r="B48" s="56">
        <v>6</v>
      </c>
      <c r="C48" s="57" t="s">
        <v>66</v>
      </c>
      <c r="D48" s="56">
        <v>3921</v>
      </c>
      <c r="E48" s="58" t="s">
        <v>19</v>
      </c>
      <c r="F48" s="57" t="s">
        <v>48</v>
      </c>
      <c r="G48" s="60"/>
      <c r="H48" s="60"/>
      <c r="I48" s="60"/>
      <c r="J48" s="61"/>
      <c r="K48" s="60"/>
      <c r="L48" s="62">
        <v>4000</v>
      </c>
      <c r="M48" s="63">
        <v>0.09</v>
      </c>
      <c r="N48" s="64">
        <f t="shared" si="18"/>
        <v>360</v>
      </c>
      <c r="O48" s="63">
        <v>0.09</v>
      </c>
      <c r="P48" s="64">
        <f t="shared" si="19"/>
        <v>360</v>
      </c>
      <c r="Q48" s="64">
        <f t="shared" si="20"/>
        <v>4720</v>
      </c>
    </row>
    <row r="49" spans="1:17" ht="14.25" customHeight="1" x14ac:dyDescent="0.2">
      <c r="B49" s="56">
        <v>8</v>
      </c>
      <c r="C49" s="57" t="s">
        <v>38</v>
      </c>
      <c r="D49" s="56">
        <v>9987</v>
      </c>
      <c r="E49" s="58" t="s">
        <v>37</v>
      </c>
      <c r="F49" s="57" t="s">
        <v>52</v>
      </c>
      <c r="G49" s="60"/>
      <c r="H49" s="60"/>
      <c r="I49" s="60">
        <v>1</v>
      </c>
      <c r="J49" s="60">
        <v>1</v>
      </c>
      <c r="K49" s="62">
        <v>1000</v>
      </c>
      <c r="L49" s="62">
        <v>1000</v>
      </c>
      <c r="M49" s="63">
        <v>0.09</v>
      </c>
      <c r="N49" s="64">
        <f t="shared" si="18"/>
        <v>90</v>
      </c>
      <c r="O49" s="63">
        <v>0.09</v>
      </c>
      <c r="P49" s="64">
        <f t="shared" si="19"/>
        <v>90</v>
      </c>
      <c r="Q49" s="64">
        <f t="shared" si="20"/>
        <v>1180</v>
      </c>
    </row>
    <row r="50" spans="1:17" ht="14.25" customHeight="1" x14ac:dyDescent="0.2">
      <c r="B50" s="56">
        <v>9</v>
      </c>
      <c r="C50" s="57" t="s">
        <v>20</v>
      </c>
      <c r="D50" s="56">
        <v>9987</v>
      </c>
      <c r="E50" s="58" t="s">
        <v>37</v>
      </c>
      <c r="F50" s="57" t="s">
        <v>21</v>
      </c>
      <c r="G50" s="60"/>
      <c r="H50" s="60"/>
      <c r="I50" s="60">
        <v>1</v>
      </c>
      <c r="J50" s="60">
        <v>1</v>
      </c>
      <c r="K50" s="60">
        <f>ROUND(((SUM(L42:L49))*7%),0)</f>
        <v>3444</v>
      </c>
      <c r="L50" s="60">
        <f>K50</f>
        <v>3444</v>
      </c>
      <c r="M50" s="63">
        <v>0.09</v>
      </c>
      <c r="N50" s="64">
        <f t="shared" si="18"/>
        <v>309.95999999999998</v>
      </c>
      <c r="O50" s="63">
        <v>0.09</v>
      </c>
      <c r="P50" s="64">
        <f t="shared" si="19"/>
        <v>309.95999999999998</v>
      </c>
      <c r="Q50" s="64">
        <f t="shared" si="20"/>
        <v>4063.92</v>
      </c>
    </row>
    <row r="51" spans="1:17" ht="14.25" customHeight="1" x14ac:dyDescent="0.2">
      <c r="B51" s="56">
        <v>10</v>
      </c>
      <c r="C51" s="57" t="s">
        <v>22</v>
      </c>
      <c r="D51" s="56">
        <v>9987</v>
      </c>
      <c r="E51" s="58" t="s">
        <v>37</v>
      </c>
      <c r="F51" s="57" t="s">
        <v>23</v>
      </c>
      <c r="G51" s="60"/>
      <c r="H51" s="60"/>
      <c r="I51" s="60">
        <v>1</v>
      </c>
      <c r="J51" s="60">
        <v>1</v>
      </c>
      <c r="K51" s="60">
        <f>ROUND(((SUM(L42:L49))*4%),0)</f>
        <v>1968</v>
      </c>
      <c r="L51" s="60">
        <f>K51</f>
        <v>1968</v>
      </c>
      <c r="M51" s="63">
        <v>0.09</v>
      </c>
      <c r="N51" s="64">
        <f t="shared" si="18"/>
        <v>177.12</v>
      </c>
      <c r="O51" s="63">
        <v>0.09</v>
      </c>
      <c r="P51" s="64">
        <f t="shared" si="19"/>
        <v>177.12</v>
      </c>
      <c r="Q51" s="64">
        <f t="shared" si="20"/>
        <v>2322.2399999999998</v>
      </c>
    </row>
    <row r="52" spans="1:17" ht="14.25" customHeight="1" x14ac:dyDescent="0.2">
      <c r="B52" s="56">
        <v>11</v>
      </c>
      <c r="C52" s="57" t="s">
        <v>39</v>
      </c>
      <c r="D52" s="56">
        <v>9987</v>
      </c>
      <c r="E52" s="58" t="s">
        <v>37</v>
      </c>
      <c r="F52" s="65" t="s">
        <v>40</v>
      </c>
      <c r="G52" s="60"/>
      <c r="H52" s="60"/>
      <c r="I52" s="60">
        <v>540</v>
      </c>
      <c r="J52" s="60">
        <v>1</v>
      </c>
      <c r="K52" s="60">
        <v>18</v>
      </c>
      <c r="L52" s="60">
        <f>K52*I52</f>
        <v>9720</v>
      </c>
      <c r="M52" s="63">
        <v>0.09</v>
      </c>
      <c r="N52" s="64">
        <f t="shared" si="18"/>
        <v>874.8</v>
      </c>
      <c r="O52" s="63">
        <v>0.09</v>
      </c>
      <c r="P52" s="64">
        <f t="shared" si="19"/>
        <v>874.8</v>
      </c>
      <c r="Q52" s="64">
        <f t="shared" si="20"/>
        <v>11469.6</v>
      </c>
    </row>
    <row r="53" spans="1:17" ht="14" x14ac:dyDescent="0.2">
      <c r="B53" s="56"/>
      <c r="C53" s="57"/>
      <c r="D53" s="56"/>
      <c r="E53" s="58"/>
      <c r="F53" s="59"/>
      <c r="G53" s="60"/>
      <c r="H53" s="60"/>
      <c r="I53" s="60"/>
      <c r="J53" s="61"/>
      <c r="K53" s="60"/>
      <c r="L53" s="62"/>
      <c r="M53" s="63"/>
      <c r="N53" s="64"/>
      <c r="O53" s="63"/>
      <c r="P53" s="64"/>
      <c r="Q53" s="64"/>
    </row>
    <row r="54" spans="1:17" ht="14" x14ac:dyDescent="0.15">
      <c r="B54" s="46"/>
      <c r="C54" s="47" t="s">
        <v>73</v>
      </c>
      <c r="D54" s="48"/>
      <c r="E54" s="46"/>
      <c r="F54" s="49"/>
      <c r="G54" s="48"/>
      <c r="H54" s="48"/>
      <c r="I54" s="50"/>
      <c r="J54" s="51"/>
      <c r="K54" s="52"/>
      <c r="L54" s="52"/>
      <c r="M54" s="53"/>
      <c r="N54" s="54"/>
      <c r="O54" s="53"/>
      <c r="P54" s="54"/>
      <c r="Q54" s="55"/>
    </row>
    <row r="55" spans="1:17" ht="14.25" customHeight="1" x14ac:dyDescent="0.2">
      <c r="B55" s="56">
        <v>1</v>
      </c>
      <c r="C55" s="57" t="s">
        <v>61</v>
      </c>
      <c r="D55" s="56">
        <v>3921</v>
      </c>
      <c r="E55" s="58" t="s">
        <v>19</v>
      </c>
      <c r="F55" s="59" t="s">
        <v>67</v>
      </c>
      <c r="G55" s="60">
        <v>96</v>
      </c>
      <c r="H55" s="60">
        <v>36</v>
      </c>
      <c r="I55" s="60">
        <v>1</v>
      </c>
      <c r="J55" s="61">
        <f t="shared" ref="J55:J58" si="21">G55*H55*I55/144</f>
        <v>24</v>
      </c>
      <c r="K55" s="60">
        <v>700</v>
      </c>
      <c r="L55" s="62">
        <f t="shared" ref="L55:L58" si="22">K55*J55</f>
        <v>16800</v>
      </c>
      <c r="M55" s="63">
        <v>0.09</v>
      </c>
      <c r="N55" s="64">
        <f t="shared" ref="N55:N63" si="23">L55*M55</f>
        <v>1512</v>
      </c>
      <c r="O55" s="63">
        <v>0.09</v>
      </c>
      <c r="P55" s="64">
        <f t="shared" ref="P55:P63" si="24">L55*O55</f>
        <v>1512</v>
      </c>
      <c r="Q55" s="64">
        <f t="shared" ref="Q55:Q63" si="25">P55+N55+L55</f>
        <v>19824</v>
      </c>
    </row>
    <row r="56" spans="1:17" ht="14.25" customHeight="1" x14ac:dyDescent="0.2">
      <c r="B56" s="56">
        <v>2</v>
      </c>
      <c r="C56" s="57" t="s">
        <v>62</v>
      </c>
      <c r="D56" s="56">
        <v>3921</v>
      </c>
      <c r="E56" s="58" t="s">
        <v>19</v>
      </c>
      <c r="F56" s="59" t="s">
        <v>63</v>
      </c>
      <c r="G56" s="60">
        <v>36</v>
      </c>
      <c r="H56" s="60">
        <v>18</v>
      </c>
      <c r="I56" s="60">
        <v>4</v>
      </c>
      <c r="J56" s="61">
        <f t="shared" si="21"/>
        <v>18</v>
      </c>
      <c r="K56" s="60">
        <v>300</v>
      </c>
      <c r="L56" s="62">
        <f t="shared" si="22"/>
        <v>5400</v>
      </c>
      <c r="M56" s="63">
        <v>0.09</v>
      </c>
      <c r="N56" s="64">
        <f t="shared" si="23"/>
        <v>486</v>
      </c>
      <c r="O56" s="63">
        <v>0.09</v>
      </c>
      <c r="P56" s="64">
        <f t="shared" si="24"/>
        <v>486</v>
      </c>
      <c r="Q56" s="64">
        <f t="shared" si="25"/>
        <v>6372</v>
      </c>
    </row>
    <row r="57" spans="1:17" ht="14.25" customHeight="1" x14ac:dyDescent="0.2">
      <c r="B57" s="56">
        <v>3</v>
      </c>
      <c r="C57" s="57" t="s">
        <v>64</v>
      </c>
      <c r="D57" s="56">
        <v>3921</v>
      </c>
      <c r="E57" s="58" t="s">
        <v>19</v>
      </c>
      <c r="F57" s="59" t="s">
        <v>65</v>
      </c>
      <c r="G57" s="60">
        <v>24</v>
      </c>
      <c r="H57" s="60">
        <v>20</v>
      </c>
      <c r="I57" s="60">
        <v>4</v>
      </c>
      <c r="J57" s="61">
        <f t="shared" si="21"/>
        <v>13.333333333333334</v>
      </c>
      <c r="K57" s="60">
        <v>300</v>
      </c>
      <c r="L57" s="62">
        <f t="shared" si="22"/>
        <v>4000</v>
      </c>
      <c r="M57" s="63">
        <v>0.09</v>
      </c>
      <c r="N57" s="64">
        <f t="shared" si="23"/>
        <v>360</v>
      </c>
      <c r="O57" s="63">
        <v>0.09</v>
      </c>
      <c r="P57" s="64">
        <f t="shared" si="24"/>
        <v>360</v>
      </c>
      <c r="Q57" s="64">
        <f t="shared" si="25"/>
        <v>4720</v>
      </c>
    </row>
    <row r="58" spans="1:17" ht="14.25" customHeight="1" x14ac:dyDescent="0.2">
      <c r="B58" s="56">
        <v>4</v>
      </c>
      <c r="C58" s="57" t="s">
        <v>49</v>
      </c>
      <c r="D58" s="56">
        <v>3921</v>
      </c>
      <c r="E58" s="58" t="s">
        <v>19</v>
      </c>
      <c r="F58" s="57" t="s">
        <v>48</v>
      </c>
      <c r="G58" s="60">
        <v>96</v>
      </c>
      <c r="H58" s="60">
        <v>48</v>
      </c>
      <c r="I58" s="60">
        <v>1</v>
      </c>
      <c r="J58" s="61">
        <f t="shared" si="21"/>
        <v>32</v>
      </c>
      <c r="K58" s="60">
        <v>60</v>
      </c>
      <c r="L58" s="62">
        <f t="shared" si="22"/>
        <v>1920</v>
      </c>
      <c r="M58" s="63">
        <v>0.09</v>
      </c>
      <c r="N58" s="64">
        <f t="shared" si="23"/>
        <v>172.79999999999998</v>
      </c>
      <c r="O58" s="63">
        <v>0.09</v>
      </c>
      <c r="P58" s="64">
        <f t="shared" si="24"/>
        <v>172.79999999999998</v>
      </c>
      <c r="Q58" s="64">
        <f t="shared" si="25"/>
        <v>2265.6</v>
      </c>
    </row>
    <row r="59" spans="1:17" ht="14.25" customHeight="1" x14ac:dyDescent="0.2">
      <c r="B59" s="56">
        <v>5</v>
      </c>
      <c r="C59" s="57" t="s">
        <v>66</v>
      </c>
      <c r="D59" s="56">
        <v>3921</v>
      </c>
      <c r="E59" s="58" t="s">
        <v>19</v>
      </c>
      <c r="F59" s="57" t="s">
        <v>48</v>
      </c>
      <c r="G59" s="60"/>
      <c r="H59" s="60"/>
      <c r="I59" s="60"/>
      <c r="J59" s="61"/>
      <c r="K59" s="60"/>
      <c r="L59" s="62">
        <v>4000</v>
      </c>
      <c r="M59" s="63">
        <v>0.09</v>
      </c>
      <c r="N59" s="64">
        <f t="shared" si="23"/>
        <v>360</v>
      </c>
      <c r="O59" s="63">
        <v>0.09</v>
      </c>
      <c r="P59" s="64">
        <f t="shared" si="24"/>
        <v>360</v>
      </c>
      <c r="Q59" s="64">
        <f t="shared" si="25"/>
        <v>4720</v>
      </c>
    </row>
    <row r="60" spans="1:17" ht="14.25" customHeight="1" x14ac:dyDescent="0.2">
      <c r="B60" s="56">
        <v>6</v>
      </c>
      <c r="C60" s="57" t="s">
        <v>38</v>
      </c>
      <c r="D60" s="56">
        <v>9987</v>
      </c>
      <c r="E60" s="58" t="s">
        <v>37</v>
      </c>
      <c r="F60" s="57" t="s">
        <v>52</v>
      </c>
      <c r="G60" s="60"/>
      <c r="H60" s="60"/>
      <c r="I60" s="60">
        <v>1</v>
      </c>
      <c r="J60" s="60">
        <v>1</v>
      </c>
      <c r="K60" s="62">
        <v>1000</v>
      </c>
      <c r="L60" s="62">
        <v>1000</v>
      </c>
      <c r="M60" s="63">
        <v>0.09</v>
      </c>
      <c r="N60" s="64">
        <f t="shared" si="23"/>
        <v>90</v>
      </c>
      <c r="O60" s="63">
        <v>0.09</v>
      </c>
      <c r="P60" s="64">
        <f t="shared" si="24"/>
        <v>90</v>
      </c>
      <c r="Q60" s="64">
        <f t="shared" si="25"/>
        <v>1180</v>
      </c>
    </row>
    <row r="61" spans="1:17" ht="14.25" customHeight="1" x14ac:dyDescent="0.2">
      <c r="B61" s="56">
        <v>7</v>
      </c>
      <c r="C61" s="57" t="s">
        <v>20</v>
      </c>
      <c r="D61" s="56">
        <v>9987</v>
      </c>
      <c r="E61" s="58" t="s">
        <v>37</v>
      </c>
      <c r="F61" s="57" t="s">
        <v>21</v>
      </c>
      <c r="G61" s="60"/>
      <c r="H61" s="60"/>
      <c r="I61" s="60">
        <v>1</v>
      </c>
      <c r="J61" s="60">
        <v>1</v>
      </c>
      <c r="K61" s="60">
        <f>ROUND(((SUM(L54:L60))*7%),0)</f>
        <v>2318</v>
      </c>
      <c r="L61" s="60">
        <f>K61</f>
        <v>2318</v>
      </c>
      <c r="M61" s="63">
        <v>0.09</v>
      </c>
      <c r="N61" s="64">
        <f t="shared" si="23"/>
        <v>208.62</v>
      </c>
      <c r="O61" s="63">
        <v>0.09</v>
      </c>
      <c r="P61" s="64">
        <f t="shared" si="24"/>
        <v>208.62</v>
      </c>
      <c r="Q61" s="64">
        <f t="shared" si="25"/>
        <v>2735.24</v>
      </c>
    </row>
    <row r="62" spans="1:17" ht="14.25" customHeight="1" x14ac:dyDescent="0.2">
      <c r="B62" s="56">
        <v>8</v>
      </c>
      <c r="C62" s="57" t="s">
        <v>22</v>
      </c>
      <c r="D62" s="56">
        <v>9987</v>
      </c>
      <c r="E62" s="58" t="s">
        <v>37</v>
      </c>
      <c r="F62" s="57" t="s">
        <v>23</v>
      </c>
      <c r="G62" s="60"/>
      <c r="H62" s="60"/>
      <c r="I62" s="60">
        <v>1</v>
      </c>
      <c r="J62" s="60">
        <v>1</v>
      </c>
      <c r="K62" s="60">
        <f>ROUND(((SUM(L54:L60))*4%),0)</f>
        <v>1325</v>
      </c>
      <c r="L62" s="60">
        <f>K62</f>
        <v>1325</v>
      </c>
      <c r="M62" s="63">
        <v>0.09</v>
      </c>
      <c r="N62" s="64">
        <f t="shared" si="23"/>
        <v>119.25</v>
      </c>
      <c r="O62" s="63">
        <v>0.09</v>
      </c>
      <c r="P62" s="64">
        <f t="shared" si="24"/>
        <v>119.25</v>
      </c>
      <c r="Q62" s="64">
        <f t="shared" si="25"/>
        <v>1563.5</v>
      </c>
    </row>
    <row r="63" spans="1:17" ht="14.25" customHeight="1" x14ac:dyDescent="0.2">
      <c r="B63" s="56">
        <v>9</v>
      </c>
      <c r="C63" s="57" t="s">
        <v>39</v>
      </c>
      <c r="D63" s="56">
        <v>9987</v>
      </c>
      <c r="E63" s="58" t="s">
        <v>37</v>
      </c>
      <c r="F63" s="65" t="s">
        <v>40</v>
      </c>
      <c r="G63" s="60"/>
      <c r="H63" s="60"/>
      <c r="I63" s="60">
        <v>1</v>
      </c>
      <c r="J63" s="60">
        <v>1</v>
      </c>
      <c r="K63" s="60">
        <v>1000</v>
      </c>
      <c r="L63" s="60">
        <f>K63</f>
        <v>1000</v>
      </c>
      <c r="M63" s="63">
        <v>0.09</v>
      </c>
      <c r="N63" s="64">
        <f t="shared" si="23"/>
        <v>90</v>
      </c>
      <c r="O63" s="63">
        <v>0.09</v>
      </c>
      <c r="P63" s="64">
        <f t="shared" si="24"/>
        <v>90</v>
      </c>
      <c r="Q63" s="64">
        <f t="shared" si="25"/>
        <v>1180</v>
      </c>
    </row>
    <row r="64" spans="1:17" ht="14" x14ac:dyDescent="0.2">
      <c r="A64" s="6" t="s">
        <v>51</v>
      </c>
      <c r="B64" s="56"/>
      <c r="C64" s="57"/>
      <c r="D64" s="56"/>
      <c r="E64" s="58"/>
      <c r="F64" s="59"/>
      <c r="G64" s="60"/>
      <c r="H64" s="60"/>
      <c r="I64" s="60"/>
      <c r="J64" s="61"/>
      <c r="K64" s="60"/>
      <c r="L64" s="62"/>
      <c r="M64" s="63"/>
      <c r="N64" s="64"/>
      <c r="O64" s="63"/>
      <c r="P64" s="64"/>
      <c r="Q64" s="64"/>
    </row>
    <row r="65" spans="1:17" ht="14" x14ac:dyDescent="0.15">
      <c r="B65" s="46"/>
      <c r="C65" s="47" t="s">
        <v>74</v>
      </c>
      <c r="D65" s="48"/>
      <c r="E65" s="46"/>
      <c r="F65" s="49"/>
      <c r="G65" s="48"/>
      <c r="H65" s="48"/>
      <c r="I65" s="50"/>
      <c r="J65" s="51"/>
      <c r="K65" s="52"/>
      <c r="L65" s="52"/>
      <c r="M65" s="53"/>
      <c r="N65" s="54"/>
      <c r="O65" s="53"/>
      <c r="P65" s="54"/>
      <c r="Q65" s="55"/>
    </row>
    <row r="66" spans="1:17" ht="14.25" customHeight="1" x14ac:dyDescent="0.2">
      <c r="B66" s="56">
        <v>1</v>
      </c>
      <c r="C66" s="57" t="s">
        <v>61</v>
      </c>
      <c r="D66" s="56">
        <v>3921</v>
      </c>
      <c r="E66" s="58" t="s">
        <v>19</v>
      </c>
      <c r="F66" s="59" t="s">
        <v>67</v>
      </c>
      <c r="G66" s="60">
        <v>96</v>
      </c>
      <c r="H66" s="60">
        <v>36</v>
      </c>
      <c r="I66" s="60">
        <v>1</v>
      </c>
      <c r="J66" s="61">
        <f t="shared" ref="J66:J70" si="26">G66*H66*I66/144</f>
        <v>24</v>
      </c>
      <c r="K66" s="60">
        <v>700</v>
      </c>
      <c r="L66" s="62">
        <f t="shared" ref="L66:L70" si="27">K66*J66</f>
        <v>16800</v>
      </c>
      <c r="M66" s="63">
        <v>0.09</v>
      </c>
      <c r="N66" s="64">
        <f t="shared" ref="N66:N75" si="28">L66*M66</f>
        <v>1512</v>
      </c>
      <c r="O66" s="63">
        <v>0.09</v>
      </c>
      <c r="P66" s="64">
        <f t="shared" ref="P66:P75" si="29">L66*O66</f>
        <v>1512</v>
      </c>
      <c r="Q66" s="64">
        <f t="shared" ref="Q66:Q75" si="30">P66+N66+L66</f>
        <v>19824</v>
      </c>
    </row>
    <row r="67" spans="1:17" ht="14.25" customHeight="1" x14ac:dyDescent="0.2">
      <c r="B67" s="56">
        <v>2</v>
      </c>
      <c r="C67" s="57" t="s">
        <v>62</v>
      </c>
      <c r="D67" s="56">
        <v>3921</v>
      </c>
      <c r="E67" s="58" t="s">
        <v>19</v>
      </c>
      <c r="F67" s="59" t="s">
        <v>63</v>
      </c>
      <c r="G67" s="60">
        <v>36</v>
      </c>
      <c r="H67" s="60">
        <v>18</v>
      </c>
      <c r="I67" s="60">
        <v>4</v>
      </c>
      <c r="J67" s="61">
        <f t="shared" si="26"/>
        <v>18</v>
      </c>
      <c r="K67" s="60">
        <v>300</v>
      </c>
      <c r="L67" s="62">
        <f t="shared" si="27"/>
        <v>5400</v>
      </c>
      <c r="M67" s="63">
        <v>0.09</v>
      </c>
      <c r="N67" s="64">
        <f t="shared" si="28"/>
        <v>486</v>
      </c>
      <c r="O67" s="63">
        <v>0.09</v>
      </c>
      <c r="P67" s="64">
        <f t="shared" si="29"/>
        <v>486</v>
      </c>
      <c r="Q67" s="64">
        <f t="shared" si="30"/>
        <v>6372</v>
      </c>
    </row>
    <row r="68" spans="1:17" ht="14.25" customHeight="1" x14ac:dyDescent="0.2">
      <c r="B68" s="56">
        <v>3</v>
      </c>
      <c r="C68" s="57" t="s">
        <v>64</v>
      </c>
      <c r="D68" s="56">
        <v>3921</v>
      </c>
      <c r="E68" s="58" t="s">
        <v>19</v>
      </c>
      <c r="F68" s="59" t="s">
        <v>65</v>
      </c>
      <c r="G68" s="60">
        <v>24</v>
      </c>
      <c r="H68" s="60">
        <v>20</v>
      </c>
      <c r="I68" s="60">
        <v>4</v>
      </c>
      <c r="J68" s="61">
        <f t="shared" si="26"/>
        <v>13.333333333333334</v>
      </c>
      <c r="K68" s="60">
        <v>300</v>
      </c>
      <c r="L68" s="62">
        <f t="shared" si="27"/>
        <v>4000</v>
      </c>
      <c r="M68" s="63">
        <v>0.09</v>
      </c>
      <c r="N68" s="64">
        <f t="shared" si="28"/>
        <v>360</v>
      </c>
      <c r="O68" s="63">
        <v>0.09</v>
      </c>
      <c r="P68" s="64">
        <f t="shared" si="29"/>
        <v>360</v>
      </c>
      <c r="Q68" s="64">
        <f t="shared" si="30"/>
        <v>4720</v>
      </c>
    </row>
    <row r="69" spans="1:17" ht="14.25" customHeight="1" x14ac:dyDescent="0.2">
      <c r="B69" s="56">
        <v>4</v>
      </c>
      <c r="C69" s="57" t="s">
        <v>68</v>
      </c>
      <c r="D69" s="56">
        <v>3921</v>
      </c>
      <c r="E69" s="58" t="s">
        <v>19</v>
      </c>
      <c r="F69" s="59" t="s">
        <v>69</v>
      </c>
      <c r="G69" s="60">
        <v>96</v>
      </c>
      <c r="H69" s="60">
        <v>36</v>
      </c>
      <c r="I69" s="60">
        <v>1</v>
      </c>
      <c r="J69" s="61">
        <f t="shared" si="26"/>
        <v>24</v>
      </c>
      <c r="K69" s="60">
        <v>320</v>
      </c>
      <c r="L69" s="62">
        <f t="shared" si="27"/>
        <v>7680</v>
      </c>
      <c r="M69" s="63">
        <v>0.09</v>
      </c>
      <c r="N69" s="64">
        <f t="shared" si="28"/>
        <v>691.19999999999993</v>
      </c>
      <c r="O69" s="63">
        <v>0.09</v>
      </c>
      <c r="P69" s="64">
        <f t="shared" si="29"/>
        <v>691.19999999999993</v>
      </c>
      <c r="Q69" s="64">
        <f t="shared" si="30"/>
        <v>9062.4</v>
      </c>
    </row>
    <row r="70" spans="1:17" ht="14.25" customHeight="1" x14ac:dyDescent="0.2">
      <c r="B70" s="56">
        <v>5</v>
      </c>
      <c r="C70" s="57" t="s">
        <v>49</v>
      </c>
      <c r="D70" s="56">
        <v>3921</v>
      </c>
      <c r="E70" s="58" t="s">
        <v>19</v>
      </c>
      <c r="F70" s="57" t="s">
        <v>48</v>
      </c>
      <c r="G70" s="60">
        <v>144</v>
      </c>
      <c r="H70" s="60">
        <v>48</v>
      </c>
      <c r="I70" s="60">
        <v>1</v>
      </c>
      <c r="J70" s="61">
        <f t="shared" si="26"/>
        <v>48</v>
      </c>
      <c r="K70" s="60">
        <v>60</v>
      </c>
      <c r="L70" s="62">
        <f t="shared" si="27"/>
        <v>2880</v>
      </c>
      <c r="M70" s="63">
        <v>0.09</v>
      </c>
      <c r="N70" s="64">
        <f t="shared" si="28"/>
        <v>259.2</v>
      </c>
      <c r="O70" s="63">
        <v>0.09</v>
      </c>
      <c r="P70" s="64">
        <f t="shared" si="29"/>
        <v>259.2</v>
      </c>
      <c r="Q70" s="64">
        <f t="shared" si="30"/>
        <v>3398.4</v>
      </c>
    </row>
    <row r="71" spans="1:17" ht="14.25" customHeight="1" x14ac:dyDescent="0.2">
      <c r="B71" s="56">
        <v>6</v>
      </c>
      <c r="C71" s="57" t="s">
        <v>66</v>
      </c>
      <c r="D71" s="56">
        <v>3921</v>
      </c>
      <c r="E71" s="58" t="s">
        <v>19</v>
      </c>
      <c r="F71" s="57" t="s">
        <v>48</v>
      </c>
      <c r="G71" s="60"/>
      <c r="H71" s="60"/>
      <c r="I71" s="60"/>
      <c r="J71" s="61"/>
      <c r="K71" s="60"/>
      <c r="L71" s="62">
        <v>4000</v>
      </c>
      <c r="M71" s="63">
        <v>0.09</v>
      </c>
      <c r="N71" s="64">
        <f t="shared" si="28"/>
        <v>360</v>
      </c>
      <c r="O71" s="63">
        <v>0.09</v>
      </c>
      <c r="P71" s="64">
        <f t="shared" si="29"/>
        <v>360</v>
      </c>
      <c r="Q71" s="64">
        <f t="shared" si="30"/>
        <v>4720</v>
      </c>
    </row>
    <row r="72" spans="1:17" ht="14.25" customHeight="1" x14ac:dyDescent="0.2">
      <c r="B72" s="56">
        <v>8</v>
      </c>
      <c r="C72" s="57" t="s">
        <v>38</v>
      </c>
      <c r="D72" s="56">
        <v>9987</v>
      </c>
      <c r="E72" s="58" t="s">
        <v>37</v>
      </c>
      <c r="F72" s="57" t="s">
        <v>52</v>
      </c>
      <c r="G72" s="60"/>
      <c r="H72" s="60"/>
      <c r="I72" s="60">
        <v>1</v>
      </c>
      <c r="J72" s="60">
        <v>1</v>
      </c>
      <c r="K72" s="62">
        <v>1000</v>
      </c>
      <c r="L72" s="62">
        <v>1000</v>
      </c>
      <c r="M72" s="63">
        <v>0.09</v>
      </c>
      <c r="N72" s="64">
        <f t="shared" si="28"/>
        <v>90</v>
      </c>
      <c r="O72" s="63">
        <v>0.09</v>
      </c>
      <c r="P72" s="64">
        <f t="shared" si="29"/>
        <v>90</v>
      </c>
      <c r="Q72" s="64">
        <f t="shared" si="30"/>
        <v>1180</v>
      </c>
    </row>
    <row r="73" spans="1:17" ht="14.25" customHeight="1" x14ac:dyDescent="0.2">
      <c r="B73" s="56">
        <v>9</v>
      </c>
      <c r="C73" s="57" t="s">
        <v>20</v>
      </c>
      <c r="D73" s="56">
        <v>9987</v>
      </c>
      <c r="E73" s="58" t="s">
        <v>37</v>
      </c>
      <c r="F73" s="57" t="s">
        <v>21</v>
      </c>
      <c r="G73" s="60"/>
      <c r="H73" s="60"/>
      <c r="I73" s="60">
        <v>1</v>
      </c>
      <c r="J73" s="60">
        <v>1</v>
      </c>
      <c r="K73" s="60">
        <f>ROUND(((SUM(L65:L72))*7%),0)</f>
        <v>2923</v>
      </c>
      <c r="L73" s="60">
        <f>K73</f>
        <v>2923</v>
      </c>
      <c r="M73" s="63">
        <v>0.09</v>
      </c>
      <c r="N73" s="64">
        <f t="shared" si="28"/>
        <v>263.07</v>
      </c>
      <c r="O73" s="63">
        <v>0.09</v>
      </c>
      <c r="P73" s="64">
        <f t="shared" si="29"/>
        <v>263.07</v>
      </c>
      <c r="Q73" s="64">
        <f t="shared" si="30"/>
        <v>3449.14</v>
      </c>
    </row>
    <row r="74" spans="1:17" ht="14.25" customHeight="1" x14ac:dyDescent="0.2">
      <c r="B74" s="56">
        <v>10</v>
      </c>
      <c r="C74" s="57" t="s">
        <v>22</v>
      </c>
      <c r="D74" s="56">
        <v>9987</v>
      </c>
      <c r="E74" s="58" t="s">
        <v>37</v>
      </c>
      <c r="F74" s="57" t="s">
        <v>23</v>
      </c>
      <c r="G74" s="60"/>
      <c r="H74" s="60"/>
      <c r="I74" s="60">
        <v>1</v>
      </c>
      <c r="J74" s="60">
        <v>1</v>
      </c>
      <c r="K74" s="60">
        <f>ROUND(((SUM(L65:L72))*4%),0)</f>
        <v>1670</v>
      </c>
      <c r="L74" s="60">
        <f>K74</f>
        <v>1670</v>
      </c>
      <c r="M74" s="63">
        <v>0.09</v>
      </c>
      <c r="N74" s="64">
        <f t="shared" si="28"/>
        <v>150.29999999999998</v>
      </c>
      <c r="O74" s="63">
        <v>0.09</v>
      </c>
      <c r="P74" s="64">
        <f t="shared" si="29"/>
        <v>150.29999999999998</v>
      </c>
      <c r="Q74" s="64">
        <f t="shared" si="30"/>
        <v>1970.6</v>
      </c>
    </row>
    <row r="75" spans="1:17" ht="14.25" customHeight="1" x14ac:dyDescent="0.2">
      <c r="B75" s="56">
        <v>11</v>
      </c>
      <c r="C75" s="57" t="s">
        <v>39</v>
      </c>
      <c r="D75" s="56">
        <v>9987</v>
      </c>
      <c r="E75" s="58" t="s">
        <v>37</v>
      </c>
      <c r="F75" s="65" t="s">
        <v>40</v>
      </c>
      <c r="G75" s="60"/>
      <c r="H75" s="60"/>
      <c r="I75" s="60">
        <v>1</v>
      </c>
      <c r="J75" s="60">
        <v>1</v>
      </c>
      <c r="K75" s="60">
        <v>1000</v>
      </c>
      <c r="L75" s="60">
        <f>K75</f>
        <v>1000</v>
      </c>
      <c r="M75" s="63">
        <v>0.09</v>
      </c>
      <c r="N75" s="64">
        <f t="shared" si="28"/>
        <v>90</v>
      </c>
      <c r="O75" s="63">
        <v>0.09</v>
      </c>
      <c r="P75" s="64">
        <f t="shared" si="29"/>
        <v>90</v>
      </c>
      <c r="Q75" s="64">
        <f t="shared" si="30"/>
        <v>1180</v>
      </c>
    </row>
    <row r="76" spans="1:17" ht="14.25" customHeight="1" x14ac:dyDescent="0.2">
      <c r="B76" s="56"/>
      <c r="C76" s="57"/>
      <c r="D76" s="56"/>
      <c r="E76" s="58"/>
      <c r="F76" s="57"/>
      <c r="G76" s="60"/>
      <c r="H76" s="60"/>
      <c r="I76" s="60"/>
      <c r="J76" s="60"/>
      <c r="K76" s="60"/>
      <c r="L76" s="62"/>
      <c r="M76" s="63"/>
      <c r="N76" s="64"/>
      <c r="O76" s="63"/>
      <c r="P76" s="64"/>
      <c r="Q76" s="64"/>
    </row>
    <row r="77" spans="1:17" ht="14.25" customHeight="1" x14ac:dyDescent="0.2">
      <c r="B77" s="46"/>
      <c r="C77" s="47"/>
      <c r="D77" s="48"/>
      <c r="E77" s="46"/>
      <c r="F77" s="49"/>
      <c r="G77" s="71"/>
      <c r="H77" s="71"/>
      <c r="I77" s="72"/>
      <c r="J77" s="73"/>
      <c r="K77" s="74"/>
      <c r="L77" s="74"/>
      <c r="M77" s="75"/>
      <c r="N77" s="76"/>
      <c r="O77" s="75"/>
      <c r="P77" s="76"/>
      <c r="Q77" s="77"/>
    </row>
    <row r="78" spans="1:17" ht="14" x14ac:dyDescent="0.2">
      <c r="A78" s="6" t="s">
        <v>51</v>
      </c>
      <c r="B78" s="56"/>
      <c r="C78" s="57"/>
      <c r="D78" s="56"/>
      <c r="E78" s="58"/>
      <c r="F78" s="59"/>
      <c r="G78" s="60"/>
      <c r="H78" s="60"/>
      <c r="I78" s="60"/>
      <c r="J78" s="61"/>
      <c r="K78" s="60"/>
      <c r="L78" s="62"/>
      <c r="M78" s="63"/>
      <c r="N78" s="64"/>
      <c r="O78" s="63"/>
      <c r="P78" s="64"/>
      <c r="Q78" s="64"/>
    </row>
    <row r="79" spans="1:17" ht="14" x14ac:dyDescent="0.2">
      <c r="B79" s="56"/>
      <c r="C79" s="57"/>
      <c r="D79" s="56"/>
      <c r="E79" s="58"/>
      <c r="F79" s="59"/>
      <c r="G79" s="60"/>
      <c r="H79" s="60"/>
      <c r="I79" s="60"/>
      <c r="J79" s="61"/>
      <c r="K79" s="60"/>
      <c r="L79" s="62"/>
      <c r="M79" s="63"/>
      <c r="N79" s="64"/>
      <c r="O79" s="63"/>
      <c r="P79" s="64"/>
      <c r="Q79" s="64"/>
    </row>
    <row r="80" spans="1:17" ht="14.25" customHeight="1" x14ac:dyDescent="0.2">
      <c r="B80" s="56"/>
      <c r="C80" s="57"/>
      <c r="D80" s="56"/>
      <c r="E80" s="58"/>
      <c r="F80" s="59"/>
      <c r="G80" s="60"/>
      <c r="H80" s="60"/>
      <c r="I80" s="60"/>
      <c r="J80" s="61"/>
      <c r="K80" s="60"/>
      <c r="L80" s="62"/>
      <c r="M80" s="63"/>
      <c r="N80" s="64"/>
      <c r="O80" s="63"/>
      <c r="P80" s="64"/>
      <c r="Q80" s="64"/>
    </row>
    <row r="81" spans="2:17" ht="14.25" customHeight="1" x14ac:dyDescent="0.15">
      <c r="B81" s="56"/>
      <c r="C81" s="57"/>
      <c r="D81" s="56"/>
      <c r="E81" s="58"/>
      <c r="F81" s="65"/>
      <c r="G81" s="57"/>
      <c r="H81" s="57"/>
      <c r="I81" s="79"/>
      <c r="J81" s="80"/>
      <c r="K81" s="57"/>
      <c r="L81" s="78"/>
      <c r="M81" s="81"/>
      <c r="N81" s="82"/>
      <c r="O81" s="81"/>
      <c r="P81" s="82"/>
      <c r="Q81" s="83"/>
    </row>
    <row r="82" spans="2:17" ht="14.25" customHeight="1" x14ac:dyDescent="0.15">
      <c r="B82" s="84"/>
      <c r="C82" s="57"/>
      <c r="D82" s="56"/>
      <c r="E82" s="58"/>
      <c r="F82" s="85"/>
      <c r="G82" s="57"/>
      <c r="H82" s="57"/>
      <c r="I82" s="79"/>
      <c r="J82" s="80"/>
      <c r="K82" s="57"/>
      <c r="L82" s="57"/>
      <c r="M82" s="81"/>
      <c r="N82" s="82"/>
      <c r="O82" s="81"/>
      <c r="P82" s="82"/>
      <c r="Q82" s="83"/>
    </row>
    <row r="83" spans="2:17" ht="14.25" customHeight="1" x14ac:dyDescent="0.2">
      <c r="B83" s="86"/>
      <c r="C83" s="87"/>
      <c r="D83" s="88"/>
      <c r="E83" s="88"/>
      <c r="F83" s="87"/>
      <c r="G83" s="136" t="s">
        <v>59</v>
      </c>
      <c r="H83" s="136"/>
      <c r="I83" s="136"/>
      <c r="J83" s="136"/>
      <c r="K83" s="137"/>
      <c r="L83" s="89">
        <f>SUM(L18:L82)-L84-L85-L86</f>
        <v>207540</v>
      </c>
      <c r="M83" s="90">
        <v>0.09</v>
      </c>
      <c r="N83" s="89">
        <f>SUM(N18:N82)-N84-N85-N86</f>
        <v>18678.599999999999</v>
      </c>
      <c r="O83" s="90">
        <v>0.09</v>
      </c>
      <c r="P83" s="89">
        <f>SUM(P18:P82)-P84-P85-P86</f>
        <v>18678.599999999999</v>
      </c>
      <c r="Q83" s="89">
        <f>SUM(Q18:Q82)-Q84-Q85-Q86</f>
        <v>244897.20000000004</v>
      </c>
    </row>
    <row r="84" spans="2:17" ht="14.25" customHeight="1" x14ac:dyDescent="0.2">
      <c r="B84" s="86"/>
      <c r="C84" s="87"/>
      <c r="D84" s="88"/>
      <c r="E84" s="88"/>
      <c r="F84" s="87"/>
      <c r="G84" s="136" t="s">
        <v>57</v>
      </c>
      <c r="H84" s="136"/>
      <c r="I84" s="136"/>
      <c r="J84" s="136"/>
      <c r="K84" s="137"/>
      <c r="L84" s="91">
        <f>SUMIF(C:C,"*IMPLEMENTATION *",L:L)</f>
        <v>14527</v>
      </c>
      <c r="M84" s="90">
        <v>0.09</v>
      </c>
      <c r="N84" s="91">
        <f>L84*9%</f>
        <v>1307.43</v>
      </c>
      <c r="O84" s="90">
        <v>0.09</v>
      </c>
      <c r="P84" s="91">
        <f>L84*9%</f>
        <v>1307.43</v>
      </c>
      <c r="Q84" s="91">
        <f>P84+N84+L84</f>
        <v>17141.86</v>
      </c>
    </row>
    <row r="85" spans="2:17" ht="14.25" customHeight="1" x14ac:dyDescent="0.2">
      <c r="B85" s="86"/>
      <c r="C85" s="87"/>
      <c r="D85" s="88"/>
      <c r="E85" s="88"/>
      <c r="F85" s="87"/>
      <c r="G85" s="136" t="s">
        <v>56</v>
      </c>
      <c r="H85" s="136"/>
      <c r="I85" s="136"/>
      <c r="J85" s="136"/>
      <c r="K85" s="137"/>
      <c r="L85" s="91">
        <f>SUMIF(C:C,"*PACKING*",L:L)</f>
        <v>8302</v>
      </c>
      <c r="M85" s="90">
        <v>0.09</v>
      </c>
      <c r="N85" s="91">
        <f>L85*9%</f>
        <v>747.18</v>
      </c>
      <c r="O85" s="90">
        <v>0.09</v>
      </c>
      <c r="P85" s="91">
        <f>L85*9%</f>
        <v>747.18</v>
      </c>
      <c r="Q85" s="91">
        <f>P85+N85+L85</f>
        <v>9796.36</v>
      </c>
    </row>
    <row r="86" spans="2:17" ht="14.25" customHeight="1" x14ac:dyDescent="0.2">
      <c r="B86" s="86"/>
      <c r="C86" s="87"/>
      <c r="D86" s="88"/>
      <c r="E86" s="88"/>
      <c r="F86" s="87"/>
      <c r="G86" s="136" t="s">
        <v>58</v>
      </c>
      <c r="H86" s="136"/>
      <c r="I86" s="136"/>
      <c r="J86" s="136"/>
      <c r="K86" s="137"/>
      <c r="L86" s="91">
        <f>SUMIF(C:C,"*Transportation*",L:L)</f>
        <v>13720</v>
      </c>
      <c r="M86" s="90">
        <v>0.09</v>
      </c>
      <c r="N86" s="91">
        <f>SUMIF(C:C,"*Transportation*",N:N)</f>
        <v>1234.8</v>
      </c>
      <c r="O86" s="90">
        <v>0.09</v>
      </c>
      <c r="P86" s="92">
        <f>SUMIF(C:C,"*Transportation*",N:N)</f>
        <v>1234.8</v>
      </c>
      <c r="Q86" s="91">
        <f>P86+N86+L86</f>
        <v>16189.6</v>
      </c>
    </row>
    <row r="87" spans="2:17" ht="14.25" customHeight="1" x14ac:dyDescent="0.2">
      <c r="B87" s="93"/>
      <c r="C87" s="94"/>
      <c r="D87" s="95"/>
      <c r="E87" s="95"/>
      <c r="F87" s="94"/>
      <c r="G87" s="96"/>
      <c r="H87" s="96"/>
      <c r="I87" s="96"/>
      <c r="J87" s="96"/>
      <c r="K87" s="96"/>
      <c r="L87" s="96"/>
      <c r="M87" s="97"/>
      <c r="N87" s="96"/>
      <c r="O87" s="97"/>
      <c r="P87" s="98"/>
      <c r="Q87" s="99"/>
    </row>
    <row r="88" spans="2:17" ht="14.25" customHeight="1" x14ac:dyDescent="0.15">
      <c r="B88" s="100"/>
      <c r="C88" s="101"/>
      <c r="D88" s="101"/>
      <c r="E88" s="101"/>
      <c r="F88" s="101"/>
      <c r="G88" s="139" t="s">
        <v>24</v>
      </c>
      <c r="H88" s="139"/>
      <c r="I88" s="139"/>
      <c r="J88" s="139"/>
      <c r="K88" s="139"/>
      <c r="L88" s="139"/>
      <c r="M88" s="139"/>
      <c r="N88" s="139"/>
      <c r="O88" s="139"/>
      <c r="P88" s="140"/>
      <c r="Q88" s="102">
        <f>L86+L85+L84+L83</f>
        <v>244089</v>
      </c>
    </row>
    <row r="89" spans="2:17" ht="14.25" customHeight="1" x14ac:dyDescent="0.15">
      <c r="B89" s="100"/>
      <c r="C89" s="101"/>
      <c r="D89" s="101"/>
      <c r="E89" s="101"/>
      <c r="F89" s="101"/>
      <c r="G89" s="139" t="s">
        <v>25</v>
      </c>
      <c r="H89" s="139"/>
      <c r="I89" s="139"/>
      <c r="J89" s="139"/>
      <c r="K89" s="139"/>
      <c r="L89" s="139"/>
      <c r="M89" s="139"/>
      <c r="N89" s="139"/>
      <c r="O89" s="139"/>
      <c r="P89" s="140"/>
      <c r="Q89" s="102">
        <f>Q88*9/100</f>
        <v>21968.01</v>
      </c>
    </row>
    <row r="90" spans="2:17" ht="14.25" customHeight="1" x14ac:dyDescent="0.15">
      <c r="B90" s="100"/>
      <c r="C90" s="101"/>
      <c r="D90" s="101"/>
      <c r="E90" s="101"/>
      <c r="F90" s="101"/>
      <c r="G90" s="139" t="s">
        <v>26</v>
      </c>
      <c r="H90" s="139"/>
      <c r="I90" s="139"/>
      <c r="J90" s="139"/>
      <c r="K90" s="139"/>
      <c r="L90" s="139"/>
      <c r="M90" s="139"/>
      <c r="N90" s="139"/>
      <c r="O90" s="139"/>
      <c r="P90" s="140"/>
      <c r="Q90" s="102">
        <f>Q88*9/100</f>
        <v>21968.01</v>
      </c>
    </row>
    <row r="91" spans="2:17" ht="14.25" customHeight="1" x14ac:dyDescent="0.15">
      <c r="B91" s="100"/>
      <c r="C91" s="101"/>
      <c r="D91" s="101"/>
      <c r="E91" s="101"/>
      <c r="F91" s="101"/>
      <c r="G91" s="139" t="s">
        <v>27</v>
      </c>
      <c r="H91" s="139"/>
      <c r="I91" s="139"/>
      <c r="J91" s="139"/>
      <c r="K91" s="139"/>
      <c r="L91" s="141"/>
      <c r="M91" s="141"/>
      <c r="N91" s="141"/>
      <c r="O91" s="139"/>
      <c r="P91" s="140"/>
      <c r="Q91" s="103">
        <f>SUM(Q88:Q90)</f>
        <v>288025.02</v>
      </c>
    </row>
    <row r="92" spans="2:17" ht="14.25" customHeight="1" x14ac:dyDescent="0.2">
      <c r="B92" s="104"/>
      <c r="C92" s="105"/>
      <c r="D92" s="105"/>
      <c r="E92" s="105"/>
      <c r="F92" s="105"/>
      <c r="G92" s="105"/>
      <c r="H92" s="105"/>
      <c r="I92" s="105"/>
      <c r="J92" s="105"/>
      <c r="K92" s="106"/>
      <c r="L92" s="106"/>
      <c r="M92" s="106"/>
      <c r="N92" s="106"/>
      <c r="O92" s="106"/>
      <c r="P92" s="106"/>
      <c r="Q92" s="107"/>
    </row>
    <row r="93" spans="2:17" ht="14.25" customHeight="1" x14ac:dyDescent="0.2">
      <c r="B93" s="108"/>
      <c r="C93" s="109" t="s">
        <v>28</v>
      </c>
      <c r="D93" s="110"/>
      <c r="E93" s="110"/>
      <c r="F93" s="9"/>
      <c r="G93" s="9"/>
      <c r="H93" s="9"/>
      <c r="I93" s="10"/>
      <c r="J93" s="9"/>
      <c r="K93" s="8"/>
      <c r="L93" s="111"/>
      <c r="M93" s="111"/>
      <c r="N93" s="8"/>
      <c r="O93" s="111"/>
      <c r="P93" s="8"/>
      <c r="Q93" s="112"/>
    </row>
    <row r="94" spans="2:17" ht="14.25" customHeight="1" x14ac:dyDescent="0.2">
      <c r="B94" s="108"/>
      <c r="C94" s="113" t="s">
        <v>29</v>
      </c>
      <c r="D94" s="110"/>
      <c r="E94" s="110"/>
      <c r="F94" s="114" t="s">
        <v>30</v>
      </c>
      <c r="G94" s="115" t="s">
        <v>31</v>
      </c>
      <c r="H94" s="115"/>
      <c r="I94" s="115"/>
      <c r="J94" s="9"/>
      <c r="K94" s="8"/>
      <c r="L94" s="111"/>
      <c r="M94" s="111"/>
      <c r="N94" s="8"/>
      <c r="O94" s="111"/>
      <c r="P94" s="8"/>
      <c r="Q94" s="112"/>
    </row>
    <row r="95" spans="2:17" ht="14.25" customHeight="1" x14ac:dyDescent="0.2">
      <c r="B95" s="116"/>
      <c r="C95" s="27" t="s">
        <v>60</v>
      </c>
      <c r="D95" s="110"/>
      <c r="E95" s="110"/>
      <c r="F95" s="114"/>
      <c r="G95" s="115" t="s">
        <v>32</v>
      </c>
      <c r="H95" s="115"/>
      <c r="I95" s="115"/>
      <c r="J95" s="9"/>
      <c r="K95" s="9"/>
      <c r="L95" s="9"/>
      <c r="M95" s="9"/>
      <c r="N95" s="9"/>
      <c r="O95" s="9"/>
      <c r="P95" s="9"/>
      <c r="Q95" s="24"/>
    </row>
    <row r="96" spans="2:17" ht="14.25" customHeight="1" x14ac:dyDescent="0.2">
      <c r="B96" s="116"/>
      <c r="C96" s="27" t="s">
        <v>33</v>
      </c>
      <c r="D96" s="110"/>
      <c r="E96" s="110"/>
      <c r="F96" s="114"/>
      <c r="G96" s="115" t="s">
        <v>34</v>
      </c>
      <c r="H96" s="115"/>
      <c r="I96" s="115"/>
      <c r="J96" s="9"/>
      <c r="K96" s="9"/>
      <c r="L96" s="9"/>
      <c r="M96" s="9"/>
      <c r="N96" s="9"/>
      <c r="O96" s="9"/>
      <c r="P96" s="9"/>
      <c r="Q96" s="24"/>
    </row>
    <row r="97" spans="2:17" ht="14.25" customHeight="1" x14ac:dyDescent="0.2">
      <c r="B97" s="117"/>
      <c r="C97" s="27" t="s">
        <v>35</v>
      </c>
      <c r="D97" s="110"/>
      <c r="E97" s="110"/>
      <c r="F97" s="114"/>
      <c r="G97" s="115" t="s">
        <v>36</v>
      </c>
      <c r="H97" s="115"/>
      <c r="I97" s="115"/>
      <c r="J97" s="9"/>
      <c r="K97" s="9"/>
      <c r="L97" s="9"/>
      <c r="M97" s="9"/>
      <c r="N97" s="9"/>
      <c r="O97" s="9"/>
      <c r="P97" s="9"/>
      <c r="Q97" s="24"/>
    </row>
    <row r="98" spans="2:17" ht="14.25" customHeight="1" x14ac:dyDescent="0.2">
      <c r="B98" s="117"/>
      <c r="C98" s="113"/>
      <c r="D98" s="110"/>
      <c r="E98" s="110"/>
      <c r="F98" s="9"/>
      <c r="G98" s="9"/>
      <c r="H98" s="9"/>
      <c r="I98" s="10"/>
      <c r="J98" s="9"/>
      <c r="K98" s="9"/>
      <c r="L98" s="9"/>
      <c r="M98" s="9"/>
      <c r="N98" s="9"/>
      <c r="O98" s="9"/>
      <c r="P98" s="9"/>
      <c r="Q98" s="24"/>
    </row>
    <row r="99" spans="2:17" ht="14.25" customHeight="1" x14ac:dyDescent="0.15">
      <c r="B99" s="117"/>
      <c r="C99" s="30"/>
      <c r="L99" s="120"/>
      <c r="Q99" s="31"/>
    </row>
    <row r="100" spans="2:17" ht="14.25" customHeight="1" x14ac:dyDescent="0.15"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</row>
    <row r="101" spans="2:17" ht="14.25" customHeight="1" x14ac:dyDescent="0.15"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</row>
    <row r="126" ht="11" x14ac:dyDescent="0.15"/>
  </sheetData>
  <autoFilter ref="A16:Q80" xr:uid="{6021C813-0F57-4289-BFF1-7CAD2FAF263C}">
    <filterColumn colId="6" showButton="0"/>
    <filterColumn colId="12" showButton="0"/>
    <filterColumn colId="14" showButton="0"/>
  </autoFilter>
  <mergeCells count="19">
    <mergeCell ref="G85:K85"/>
    <mergeCell ref="G84:K84"/>
    <mergeCell ref="G83:K83"/>
    <mergeCell ref="B101:Q101"/>
    <mergeCell ref="G86:K86"/>
    <mergeCell ref="G88:P88"/>
    <mergeCell ref="G89:P89"/>
    <mergeCell ref="G90:P90"/>
    <mergeCell ref="G91:P91"/>
    <mergeCell ref="B100:Q100"/>
    <mergeCell ref="K12:O12"/>
    <mergeCell ref="K2:Q2"/>
    <mergeCell ref="L6:M6"/>
    <mergeCell ref="B14:Q14"/>
    <mergeCell ref="B15:F15"/>
    <mergeCell ref="M15:N16"/>
    <mergeCell ref="O15:P16"/>
    <mergeCell ref="Q15:Q16"/>
    <mergeCell ref="G16:H16"/>
  </mergeCells>
  <pageMargins left="0.23622047244094491" right="0.23622047244094491" top="0.74803149606299213" bottom="0.74803149606299213" header="0.31496062992125984" footer="0.31496062992125984"/>
  <pageSetup scale="44" fitToHeight="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13108</dc:creator>
  <cp:lastModifiedBy>a21437</cp:lastModifiedBy>
  <cp:lastPrinted>2026-02-11T15:13:13Z</cp:lastPrinted>
  <dcterms:created xsi:type="dcterms:W3CDTF">2023-12-06T15:57:41Z</dcterms:created>
  <dcterms:modified xsi:type="dcterms:W3CDTF">2026-05-19T11:54:57Z</dcterms:modified>
</cp:coreProperties>
</file>